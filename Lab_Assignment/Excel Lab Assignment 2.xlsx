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A62B825-49AD-481C-80C2-4366D9485EE8}" xr6:coauthVersionLast="47" xr6:coauthVersionMax="47" xr10:uidLastSave="{00000000-0000-0000-0000-000000000000}"/>
  <bookViews>
    <workbookView xWindow="-108" yWindow="-108" windowWidth="23256" windowHeight="12456" xr2:uid="{0317435A-B582-48CF-B711-B94B7EF6DEBB}"/>
  </bookViews>
  <sheets>
    <sheet name="Lab Assignment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N82" i="1"/>
  <c r="N83" i="1"/>
  <c r="N84" i="1"/>
  <c r="N85" i="1"/>
  <c r="N86" i="1"/>
  <c r="N87" i="1"/>
  <c r="M87" i="1"/>
  <c r="L87" i="1"/>
  <c r="K87" i="1"/>
  <c r="I87" i="1"/>
  <c r="J87" i="1" s="1"/>
  <c r="H87" i="1"/>
  <c r="G87" i="1"/>
  <c r="F87" i="1"/>
  <c r="M86" i="1"/>
  <c r="L86" i="1"/>
  <c r="K86" i="1"/>
  <c r="I86" i="1"/>
  <c r="J86" i="1" s="1"/>
  <c r="H86" i="1"/>
  <c r="G86" i="1"/>
  <c r="F86" i="1"/>
  <c r="M85" i="1"/>
  <c r="L85" i="1"/>
  <c r="K85" i="1"/>
  <c r="I85" i="1"/>
  <c r="J85" i="1" s="1"/>
  <c r="H85" i="1"/>
  <c r="G85" i="1"/>
  <c r="F85" i="1"/>
  <c r="M84" i="1"/>
  <c r="L84" i="1"/>
  <c r="K84" i="1"/>
  <c r="I84" i="1"/>
  <c r="J84" i="1" s="1"/>
  <c r="H84" i="1"/>
  <c r="G84" i="1"/>
  <c r="F84" i="1"/>
  <c r="M83" i="1"/>
  <c r="L83" i="1"/>
  <c r="K83" i="1"/>
  <c r="I83" i="1"/>
  <c r="J83" i="1" s="1"/>
  <c r="H83" i="1"/>
  <c r="G83" i="1"/>
  <c r="F83" i="1"/>
  <c r="M82" i="1"/>
  <c r="L82" i="1"/>
  <c r="K82" i="1"/>
  <c r="I82" i="1"/>
  <c r="J82" i="1" s="1"/>
  <c r="H82" i="1"/>
  <c r="G82" i="1"/>
  <c r="F82" i="1"/>
  <c r="M73" i="1"/>
  <c r="M74" i="1"/>
  <c r="M75" i="1"/>
  <c r="M76" i="1"/>
  <c r="M77" i="1"/>
  <c r="M72" i="1"/>
  <c r="L77" i="1"/>
  <c r="K77" i="1"/>
  <c r="I77" i="1"/>
  <c r="J77" i="1" s="1"/>
  <c r="H77" i="1"/>
  <c r="G77" i="1"/>
  <c r="F77" i="1"/>
  <c r="L76" i="1"/>
  <c r="K76" i="1"/>
  <c r="I76" i="1"/>
  <c r="J76" i="1" s="1"/>
  <c r="H76" i="1"/>
  <c r="G76" i="1"/>
  <c r="F76" i="1"/>
  <c r="L75" i="1"/>
  <c r="K75" i="1"/>
  <c r="J75" i="1"/>
  <c r="I75" i="1"/>
  <c r="H75" i="1"/>
  <c r="G75" i="1"/>
  <c r="F75" i="1"/>
  <c r="L74" i="1"/>
  <c r="K74" i="1"/>
  <c r="I74" i="1"/>
  <c r="J74" i="1" s="1"/>
  <c r="H74" i="1"/>
  <c r="G74" i="1"/>
  <c r="F74" i="1"/>
  <c r="L73" i="1"/>
  <c r="K73" i="1"/>
  <c r="J73" i="1"/>
  <c r="I73" i="1"/>
  <c r="H73" i="1"/>
  <c r="G73" i="1"/>
  <c r="F73" i="1"/>
  <c r="L72" i="1"/>
  <c r="K72" i="1"/>
  <c r="I72" i="1"/>
  <c r="J72" i="1" s="1"/>
  <c r="H72" i="1"/>
  <c r="G72" i="1"/>
  <c r="F72" i="1"/>
  <c r="L62" i="1"/>
  <c r="L63" i="1"/>
  <c r="L64" i="1"/>
  <c r="L65" i="1"/>
  <c r="L66" i="1"/>
  <c r="L67" i="1"/>
  <c r="K67" i="1"/>
  <c r="I67" i="1"/>
  <c r="J67" i="1" s="1"/>
  <c r="H67" i="1"/>
  <c r="G67" i="1"/>
  <c r="F67" i="1"/>
  <c r="K66" i="1"/>
  <c r="I66" i="1"/>
  <c r="J66" i="1" s="1"/>
  <c r="H66" i="1"/>
  <c r="G66" i="1"/>
  <c r="F66" i="1"/>
  <c r="K65" i="1"/>
  <c r="I65" i="1"/>
  <c r="J65" i="1" s="1"/>
  <c r="H65" i="1"/>
  <c r="G65" i="1"/>
  <c r="F65" i="1"/>
  <c r="K64" i="1"/>
  <c r="I64" i="1"/>
  <c r="J64" i="1" s="1"/>
  <c r="H64" i="1"/>
  <c r="G64" i="1"/>
  <c r="F64" i="1"/>
  <c r="K63" i="1"/>
  <c r="I63" i="1"/>
  <c r="J63" i="1" s="1"/>
  <c r="H63" i="1"/>
  <c r="G63" i="1"/>
  <c r="F63" i="1"/>
  <c r="K62" i="1"/>
  <c r="I62" i="1"/>
  <c r="J62" i="1" s="1"/>
  <c r="H62" i="1"/>
  <c r="G62" i="1"/>
  <c r="F62" i="1"/>
  <c r="K53" i="1"/>
  <c r="K54" i="1"/>
  <c r="K55" i="1"/>
  <c r="K56" i="1"/>
  <c r="K57" i="1"/>
  <c r="K52" i="1"/>
  <c r="I57" i="1"/>
  <c r="J57" i="1" s="1"/>
  <c r="H57" i="1"/>
  <c r="G57" i="1"/>
  <c r="F57" i="1"/>
  <c r="I56" i="1"/>
  <c r="J56" i="1" s="1"/>
  <c r="H56" i="1"/>
  <c r="G56" i="1"/>
  <c r="F56" i="1"/>
  <c r="I55" i="1"/>
  <c r="J55" i="1" s="1"/>
  <c r="H55" i="1"/>
  <c r="G55" i="1"/>
  <c r="F55" i="1"/>
  <c r="I54" i="1"/>
  <c r="J54" i="1" s="1"/>
  <c r="H54" i="1"/>
  <c r="G54" i="1"/>
  <c r="F54" i="1"/>
  <c r="I53" i="1"/>
  <c r="J53" i="1" s="1"/>
  <c r="H53" i="1"/>
  <c r="G53" i="1"/>
  <c r="F53" i="1"/>
  <c r="I52" i="1"/>
  <c r="J52" i="1" s="1"/>
  <c r="H52" i="1"/>
  <c r="G52" i="1"/>
  <c r="F52" i="1"/>
  <c r="J43" i="1"/>
  <c r="J44" i="1"/>
  <c r="J45" i="1"/>
  <c r="J46" i="1"/>
  <c r="J47" i="1"/>
  <c r="I43" i="1"/>
  <c r="I44" i="1"/>
  <c r="I45" i="1"/>
  <c r="I46" i="1"/>
  <c r="I47" i="1"/>
  <c r="I42" i="1"/>
  <c r="H47" i="1"/>
  <c r="G47" i="1"/>
  <c r="F47" i="1"/>
  <c r="H46" i="1"/>
  <c r="G46" i="1"/>
  <c r="F46" i="1"/>
  <c r="H45" i="1"/>
  <c r="G45" i="1"/>
  <c r="F45" i="1"/>
  <c r="H44" i="1"/>
  <c r="G44" i="1"/>
  <c r="F44" i="1"/>
  <c r="H43" i="1"/>
  <c r="G43" i="1"/>
  <c r="F43" i="1"/>
  <c r="H42" i="1"/>
  <c r="G42" i="1"/>
  <c r="F42" i="1"/>
  <c r="H33" i="1"/>
  <c r="H34" i="1"/>
  <c r="H35" i="1"/>
  <c r="H36" i="1"/>
  <c r="H37" i="1"/>
  <c r="H32" i="1"/>
  <c r="G37" i="1"/>
  <c r="F37" i="1"/>
  <c r="G36" i="1"/>
  <c r="F36" i="1"/>
  <c r="G35" i="1"/>
  <c r="F35" i="1"/>
  <c r="G34" i="1"/>
  <c r="F34" i="1"/>
  <c r="G33" i="1"/>
  <c r="F33" i="1"/>
  <c r="G32" i="1"/>
  <c r="F32" i="1"/>
  <c r="G23" i="1"/>
  <c r="G24" i="1"/>
  <c r="G25" i="1"/>
  <c r="G26" i="1"/>
  <c r="G27" i="1"/>
  <c r="G22" i="1"/>
  <c r="F27" i="1"/>
  <c r="F26" i="1"/>
  <c r="F25" i="1"/>
  <c r="F24" i="1"/>
  <c r="F23" i="1"/>
  <c r="F22" i="1"/>
  <c r="F13" i="1"/>
  <c r="F14" i="1"/>
  <c r="F15" i="1"/>
  <c r="F16" i="1"/>
  <c r="F17" i="1"/>
  <c r="F12" i="1"/>
</calcChain>
</file>

<file path=xl/sharedStrings.xml><?xml version="1.0" encoding="utf-8"?>
<sst xmlns="http://schemas.openxmlformats.org/spreadsheetml/2006/main" count="206" uniqueCount="36">
  <si>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</si>
  <si>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</si>
  <si>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</si>
  <si>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</si>
  <si>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</si>
  <si>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</si>
  <si>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</si>
  <si>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</si>
  <si>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Sales</t>
  </si>
  <si>
    <t>Target</t>
  </si>
  <si>
    <t>Region</t>
  </si>
  <si>
    <t>North</t>
  </si>
  <si>
    <t>South</t>
  </si>
  <si>
    <t>East</t>
  </si>
  <si>
    <t>West</t>
  </si>
  <si>
    <t>1. Use the IF function to evaluate whether each product met its sales target.</t>
  </si>
  <si>
    <t>Sales Target Met</t>
  </si>
  <si>
    <t>2. Use the IF function to determine if a product is eligible for a regional bonus. Products in the "North" region with sales over 200 are eligible.</t>
  </si>
  <si>
    <t>Regional Bonus</t>
  </si>
  <si>
    <t>3. Use nested IF functions to assign a commission rate based on sales. Sales &gt;= 200 get a 10% commission, sales &gt;= 150 get a 7% commission, and others get a 5% commission.</t>
  </si>
  <si>
    <t>Commission rate</t>
  </si>
  <si>
    <t>4. Use the IF function to calculate a bonus amount. If sales met or exceeded the target, the bonus is 10% of the sales; otherwise, it's 5%.</t>
  </si>
  <si>
    <t>Bonus Amount</t>
  </si>
  <si>
    <t>Bonus Parcentage</t>
  </si>
  <si>
    <t>5. Use the IF function to categorize sales performance as "Excellent" (&gt;=200), "Good" (&gt;=150), or "Needs Improvement" (&lt;150).</t>
  </si>
  <si>
    <t>Sales Performance</t>
  </si>
  <si>
    <t>6. Use the IF function to assign a price tier based on the sales value. "High" for sales &gt; 200, "Medium" for sales between 100 and 200, and "Low" for sales &lt; 100.</t>
  </si>
  <si>
    <t>Price Tier</t>
  </si>
  <si>
    <t>7. Use the IF function to calculate the year-end bonus. If sales &gt;= 150 and region is "North", the bonus is $500, otherwise, it's $300.</t>
  </si>
  <si>
    <t>Year-end Bonus</t>
  </si>
  <si>
    <t>8. Use the IF function to mark high performers. A product is a high performer if its sales are in the top 25% of all sales.</t>
  </si>
  <si>
    <t>Performer Status</t>
  </si>
  <si>
    <t>ANNWESHA KUNDU</t>
  </si>
  <si>
    <t>NAME</t>
  </si>
  <si>
    <t>COURSE</t>
  </si>
  <si>
    <t>Data Processing &amp; Business Analysis (D3870)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</si>
</sst>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3" borderId="1" xfId="0" applyFill="1" applyBorder="1"/>
    <xf numFmtId="0" fontId="2" fillId="3" borderId="1" xfId="0" applyFont="1" applyFill="1" applyBorder="1"/>
    <xf numFmtId="9" fontId="2" fillId="3" borderId="1" xfId="1" applyFont="1" applyFill="1" applyBorder="1"/>
    <xf numFmtId="9" fontId="0" fillId="3" borderId="1" xfId="1" applyFont="1" applyFill="1" applyBorder="1"/>
    <xf numFmtId="44" fontId="2" fillId="3" borderId="1" xfId="2" applyFont="1" applyFill="1" applyBorder="1"/>
    <xf numFmtId="44" fontId="0" fillId="3" borderId="1" xfId="2" applyFont="1" applyFill="1" applyBorder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F857-B336-4443-A0BF-A87D2AE7C10F}">
  <dimension ref="A1:N87"/>
  <sheetViews>
    <sheetView tabSelected="1" zoomScale="85" zoomScaleNormal="85" workbookViewId="0">
      <selection activeCell="M95" sqref="M95"/>
    </sheetView>
  </sheetViews>
  <sheetFormatPr defaultRowHeight="14.4" x14ac:dyDescent="0.3"/>
  <cols>
    <col min="1" max="1" width="9.77734375" customWidth="1"/>
    <col min="6" max="6" width="18" customWidth="1"/>
    <col min="7" max="7" width="19.6640625" customWidth="1"/>
    <col min="8" max="8" width="20.44140625" customWidth="1"/>
    <col min="9" max="9" width="15.88671875" customWidth="1"/>
    <col min="10" max="10" width="19.109375" bestFit="1" customWidth="1"/>
    <col min="11" max="11" width="23.88671875" customWidth="1"/>
    <col min="12" max="12" width="13.109375" bestFit="1" customWidth="1"/>
    <col min="13" max="13" width="21.44140625" bestFit="1" customWidth="1"/>
    <col min="14" max="14" width="21.88671875" bestFit="1" customWidth="1"/>
  </cols>
  <sheetData>
    <row r="1" spans="1:13" x14ac:dyDescent="0.3">
      <c r="A1" s="9" t="s">
        <v>0</v>
      </c>
      <c r="B1" s="9" t="s">
        <v>1</v>
      </c>
      <c r="C1" s="9" t="s">
        <v>8</v>
      </c>
      <c r="D1" s="9" t="s">
        <v>9</v>
      </c>
      <c r="E1" s="9" t="s">
        <v>10</v>
      </c>
    </row>
    <row r="2" spans="1:13" x14ac:dyDescent="0.3">
      <c r="A2" s="2">
        <v>101</v>
      </c>
      <c r="B2" s="2" t="s">
        <v>2</v>
      </c>
      <c r="C2" s="2">
        <v>120</v>
      </c>
      <c r="D2" s="2">
        <v>150</v>
      </c>
      <c r="E2" s="2" t="s">
        <v>11</v>
      </c>
    </row>
    <row r="3" spans="1:13" x14ac:dyDescent="0.3">
      <c r="A3" s="2">
        <v>102</v>
      </c>
      <c r="B3" s="2" t="s">
        <v>3</v>
      </c>
      <c r="C3" s="2">
        <v>150</v>
      </c>
      <c r="D3" s="2">
        <v>140</v>
      </c>
      <c r="E3" s="2" t="s">
        <v>12</v>
      </c>
    </row>
    <row r="4" spans="1:13" ht="21" x14ac:dyDescent="0.4">
      <c r="A4" s="2">
        <v>103</v>
      </c>
      <c r="B4" s="2" t="s">
        <v>4</v>
      </c>
      <c r="C4" s="2">
        <v>200</v>
      </c>
      <c r="D4" s="2">
        <v>200</v>
      </c>
      <c r="E4" s="2" t="s">
        <v>13</v>
      </c>
      <c r="J4" s="8" t="s">
        <v>33</v>
      </c>
      <c r="K4" s="10" t="s">
        <v>32</v>
      </c>
      <c r="L4" s="10"/>
      <c r="M4" s="10"/>
    </row>
    <row r="5" spans="1:13" ht="21" x14ac:dyDescent="0.4">
      <c r="A5" s="2">
        <v>104</v>
      </c>
      <c r="B5" s="2" t="s">
        <v>5</v>
      </c>
      <c r="C5" s="2">
        <v>90</v>
      </c>
      <c r="D5" s="2">
        <v>100</v>
      </c>
      <c r="E5" s="2" t="s">
        <v>14</v>
      </c>
      <c r="J5" s="8" t="s">
        <v>34</v>
      </c>
      <c r="K5" s="10" t="s">
        <v>35</v>
      </c>
      <c r="L5" s="10"/>
      <c r="M5" s="10"/>
    </row>
    <row r="6" spans="1:13" x14ac:dyDescent="0.3">
      <c r="A6" s="2">
        <v>105</v>
      </c>
      <c r="B6" s="2" t="s">
        <v>6</v>
      </c>
      <c r="C6" s="2">
        <v>220</v>
      </c>
      <c r="D6" s="2">
        <v>210</v>
      </c>
      <c r="E6" s="2" t="s">
        <v>11</v>
      </c>
    </row>
    <row r="7" spans="1:13" x14ac:dyDescent="0.3">
      <c r="A7" s="2">
        <v>106</v>
      </c>
      <c r="B7" s="2" t="s">
        <v>7</v>
      </c>
      <c r="C7" s="2">
        <v>130</v>
      </c>
      <c r="D7" s="2">
        <v>160</v>
      </c>
      <c r="E7" s="2" t="s">
        <v>12</v>
      </c>
    </row>
    <row r="9" spans="1:13" x14ac:dyDescent="0.3">
      <c r="A9" s="11" t="s">
        <v>15</v>
      </c>
      <c r="B9" s="11"/>
      <c r="C9" s="11"/>
      <c r="D9" s="11"/>
      <c r="E9" s="11"/>
      <c r="F9" s="11"/>
    </row>
    <row r="11" spans="1:13" x14ac:dyDescent="0.3">
      <c r="A11" s="9" t="s">
        <v>0</v>
      </c>
      <c r="B11" s="9" t="s">
        <v>1</v>
      </c>
      <c r="C11" s="9" t="s">
        <v>8</v>
      </c>
      <c r="D11" s="9" t="s">
        <v>9</v>
      </c>
      <c r="E11" s="9" t="s">
        <v>10</v>
      </c>
      <c r="F11" s="9" t="s">
        <v>16</v>
      </c>
    </row>
    <row r="12" spans="1:13" x14ac:dyDescent="0.3">
      <c r="A12" s="2">
        <v>101</v>
      </c>
      <c r="B12" s="2" t="s">
        <v>2</v>
      </c>
      <c r="C12" s="2">
        <v>120</v>
      </c>
      <c r="D12" s="2">
        <v>150</v>
      </c>
      <c r="E12" s="2" t="s">
        <v>11</v>
      </c>
      <c r="F12" s="3" t="str">
        <f>IF(C12&gt;=D12,"Yes","No")</f>
        <v>No</v>
      </c>
    </row>
    <row r="13" spans="1:13" x14ac:dyDescent="0.3">
      <c r="A13" s="2">
        <v>102</v>
      </c>
      <c r="B13" s="2" t="s">
        <v>3</v>
      </c>
      <c r="C13" s="2">
        <v>150</v>
      </c>
      <c r="D13" s="2">
        <v>140</v>
      </c>
      <c r="E13" s="2" t="s">
        <v>12</v>
      </c>
      <c r="F13" s="3" t="str">
        <f t="shared" ref="F13:F17" si="0">IF(C13&gt;=D13,"Yes","No")</f>
        <v>Yes</v>
      </c>
    </row>
    <row r="14" spans="1:13" x14ac:dyDescent="0.3">
      <c r="A14" s="2">
        <v>103</v>
      </c>
      <c r="B14" s="2" t="s">
        <v>4</v>
      </c>
      <c r="C14" s="2">
        <v>200</v>
      </c>
      <c r="D14" s="2">
        <v>200</v>
      </c>
      <c r="E14" s="2" t="s">
        <v>13</v>
      </c>
      <c r="F14" s="3" t="str">
        <f t="shared" si="0"/>
        <v>Yes</v>
      </c>
    </row>
    <row r="15" spans="1:13" x14ac:dyDescent="0.3">
      <c r="A15" s="2">
        <v>104</v>
      </c>
      <c r="B15" s="2" t="s">
        <v>5</v>
      </c>
      <c r="C15" s="2">
        <v>90</v>
      </c>
      <c r="D15" s="2">
        <v>100</v>
      </c>
      <c r="E15" s="2" t="s">
        <v>14</v>
      </c>
      <c r="F15" s="3" t="str">
        <f t="shared" si="0"/>
        <v>No</v>
      </c>
    </row>
    <row r="16" spans="1:13" x14ac:dyDescent="0.3">
      <c r="A16" s="2">
        <v>105</v>
      </c>
      <c r="B16" s="2" t="s">
        <v>6</v>
      </c>
      <c r="C16" s="2">
        <v>220</v>
      </c>
      <c r="D16" s="2">
        <v>210</v>
      </c>
      <c r="E16" s="2" t="s">
        <v>11</v>
      </c>
      <c r="F16" s="3" t="str">
        <f t="shared" si="0"/>
        <v>Yes</v>
      </c>
    </row>
    <row r="17" spans="1:10" x14ac:dyDescent="0.3">
      <c r="A17" s="2">
        <v>106</v>
      </c>
      <c r="B17" s="2" t="s">
        <v>7</v>
      </c>
      <c r="C17" s="2">
        <v>130</v>
      </c>
      <c r="D17" s="2">
        <v>160</v>
      </c>
      <c r="E17" s="2" t="s">
        <v>12</v>
      </c>
      <c r="F17" s="3" t="str">
        <f t="shared" si="0"/>
        <v>No</v>
      </c>
    </row>
    <row r="19" spans="1:10" x14ac:dyDescent="0.3">
      <c r="A19" s="1" t="s">
        <v>17</v>
      </c>
      <c r="B19" s="1"/>
      <c r="C19" s="1"/>
      <c r="D19" s="1"/>
      <c r="E19" s="1"/>
      <c r="F19" s="1"/>
      <c r="G19" s="1"/>
      <c r="H19" s="1"/>
      <c r="I19" s="1"/>
      <c r="J19" s="1"/>
    </row>
    <row r="21" spans="1:10" x14ac:dyDescent="0.3">
      <c r="A21" s="9" t="s">
        <v>0</v>
      </c>
      <c r="B21" s="9" t="s">
        <v>1</v>
      </c>
      <c r="C21" s="9" t="s">
        <v>8</v>
      </c>
      <c r="D21" s="9" t="s">
        <v>9</v>
      </c>
      <c r="E21" s="9" t="s">
        <v>10</v>
      </c>
      <c r="F21" s="9" t="s">
        <v>16</v>
      </c>
      <c r="G21" s="9" t="s">
        <v>18</v>
      </c>
    </row>
    <row r="22" spans="1:10" x14ac:dyDescent="0.3">
      <c r="A22" s="2">
        <v>101</v>
      </c>
      <c r="B22" s="2" t="s">
        <v>2</v>
      </c>
      <c r="C22" s="2">
        <v>120</v>
      </c>
      <c r="D22" s="2">
        <v>150</v>
      </c>
      <c r="E22" s="2" t="s">
        <v>11</v>
      </c>
      <c r="F22" s="3" t="str">
        <f>IF(C22&gt;=D22,"Yes","No")</f>
        <v>No</v>
      </c>
      <c r="G22" s="3" t="str">
        <f>IF(AND(E22="North",C22&gt;200),"Eligible","Not Eligible")</f>
        <v>Not Eligible</v>
      </c>
    </row>
    <row r="23" spans="1:10" x14ac:dyDescent="0.3">
      <c r="A23" s="2">
        <v>102</v>
      </c>
      <c r="B23" s="2" t="s">
        <v>3</v>
      </c>
      <c r="C23" s="2">
        <v>150</v>
      </c>
      <c r="D23" s="2">
        <v>140</v>
      </c>
      <c r="E23" s="2" t="s">
        <v>12</v>
      </c>
      <c r="F23" s="3" t="str">
        <f t="shared" ref="F23:F27" si="1">IF(C23&gt;=D23,"Yes","No")</f>
        <v>Yes</v>
      </c>
      <c r="G23" s="3" t="str">
        <f t="shared" ref="G23:G27" si="2">IF(AND(E23="North",C23&gt;200),"Eligible","Not Eligible")</f>
        <v>Not Eligible</v>
      </c>
    </row>
    <row r="24" spans="1:10" x14ac:dyDescent="0.3">
      <c r="A24" s="2">
        <v>103</v>
      </c>
      <c r="B24" s="2" t="s">
        <v>4</v>
      </c>
      <c r="C24" s="2">
        <v>200</v>
      </c>
      <c r="D24" s="2">
        <v>200</v>
      </c>
      <c r="E24" s="2" t="s">
        <v>13</v>
      </c>
      <c r="F24" s="3" t="str">
        <f t="shared" si="1"/>
        <v>Yes</v>
      </c>
      <c r="G24" s="3" t="str">
        <f t="shared" si="2"/>
        <v>Not Eligible</v>
      </c>
    </row>
    <row r="25" spans="1:10" x14ac:dyDescent="0.3">
      <c r="A25" s="2">
        <v>104</v>
      </c>
      <c r="B25" s="2" t="s">
        <v>5</v>
      </c>
      <c r="C25" s="2">
        <v>90</v>
      </c>
      <c r="D25" s="2">
        <v>100</v>
      </c>
      <c r="E25" s="2" t="s">
        <v>14</v>
      </c>
      <c r="F25" s="3" t="str">
        <f t="shared" si="1"/>
        <v>No</v>
      </c>
      <c r="G25" s="3" t="str">
        <f t="shared" si="2"/>
        <v>Not Eligible</v>
      </c>
    </row>
    <row r="26" spans="1:10" x14ac:dyDescent="0.3">
      <c r="A26" s="2">
        <v>105</v>
      </c>
      <c r="B26" s="2" t="s">
        <v>6</v>
      </c>
      <c r="C26" s="2">
        <v>220</v>
      </c>
      <c r="D26" s="2">
        <v>210</v>
      </c>
      <c r="E26" s="2" t="s">
        <v>11</v>
      </c>
      <c r="F26" s="3" t="str">
        <f t="shared" si="1"/>
        <v>Yes</v>
      </c>
      <c r="G26" s="3" t="str">
        <f t="shared" si="2"/>
        <v>Eligible</v>
      </c>
    </row>
    <row r="27" spans="1:10" x14ac:dyDescent="0.3">
      <c r="A27" s="2">
        <v>106</v>
      </c>
      <c r="B27" s="2" t="s">
        <v>7</v>
      </c>
      <c r="C27" s="2">
        <v>130</v>
      </c>
      <c r="D27" s="2">
        <v>160</v>
      </c>
      <c r="E27" s="2" t="s">
        <v>12</v>
      </c>
      <c r="F27" s="3" t="str">
        <f t="shared" si="1"/>
        <v>No</v>
      </c>
      <c r="G27" s="3" t="str">
        <f t="shared" si="2"/>
        <v>Not Eligible</v>
      </c>
    </row>
    <row r="29" spans="1:10" s="1" customFormat="1" x14ac:dyDescent="0.3">
      <c r="A29" s="1" t="s">
        <v>19</v>
      </c>
    </row>
    <row r="31" spans="1:10" x14ac:dyDescent="0.3">
      <c r="A31" s="9" t="s">
        <v>0</v>
      </c>
      <c r="B31" s="9" t="s">
        <v>1</v>
      </c>
      <c r="C31" s="9" t="s">
        <v>8</v>
      </c>
      <c r="D31" s="9" t="s">
        <v>9</v>
      </c>
      <c r="E31" s="9" t="s">
        <v>10</v>
      </c>
      <c r="F31" s="9" t="s">
        <v>16</v>
      </c>
      <c r="G31" s="9" t="s">
        <v>18</v>
      </c>
      <c r="H31" s="9" t="s">
        <v>20</v>
      </c>
    </row>
    <row r="32" spans="1:10" x14ac:dyDescent="0.3">
      <c r="A32" s="2">
        <v>101</v>
      </c>
      <c r="B32" s="2" t="s">
        <v>2</v>
      </c>
      <c r="C32" s="2">
        <v>120</v>
      </c>
      <c r="D32" s="2">
        <v>150</v>
      </c>
      <c r="E32" s="2" t="s">
        <v>11</v>
      </c>
      <c r="F32" s="2" t="str">
        <f>IF(C32&gt;=D32,"Yes","No")</f>
        <v>No</v>
      </c>
      <c r="G32" s="2" t="str">
        <f>IF(AND(E32="North",C32&gt;200),"Eligible","Not Eligible")</f>
        <v>Not Eligible</v>
      </c>
      <c r="H32" s="4">
        <f>IF(C32&gt;=200,10%,IF(C32&gt;=150,7%,5%))</f>
        <v>0.05</v>
      </c>
    </row>
    <row r="33" spans="1:10" x14ac:dyDescent="0.3">
      <c r="A33" s="2">
        <v>102</v>
      </c>
      <c r="B33" s="2" t="s">
        <v>3</v>
      </c>
      <c r="C33" s="2">
        <v>150</v>
      </c>
      <c r="D33" s="2">
        <v>140</v>
      </c>
      <c r="E33" s="2" t="s">
        <v>12</v>
      </c>
      <c r="F33" s="2" t="str">
        <f t="shared" ref="F33:F37" si="3">IF(C33&gt;=D33,"Yes","No")</f>
        <v>Yes</v>
      </c>
      <c r="G33" s="2" t="str">
        <f t="shared" ref="G33:G37" si="4">IF(AND(E33="North",C33&gt;200),"Eligible","Not Eligible")</f>
        <v>Not Eligible</v>
      </c>
      <c r="H33" s="4">
        <f t="shared" ref="H33:H37" si="5">IF(C33&gt;=200,10%,IF(C33&gt;=150,7%,5%))</f>
        <v>7.0000000000000007E-2</v>
      </c>
    </row>
    <row r="34" spans="1:10" x14ac:dyDescent="0.3">
      <c r="A34" s="2">
        <v>103</v>
      </c>
      <c r="B34" s="2" t="s">
        <v>4</v>
      </c>
      <c r="C34" s="2">
        <v>200</v>
      </c>
      <c r="D34" s="2">
        <v>200</v>
      </c>
      <c r="E34" s="2" t="s">
        <v>13</v>
      </c>
      <c r="F34" s="2" t="str">
        <f t="shared" si="3"/>
        <v>Yes</v>
      </c>
      <c r="G34" s="2" t="str">
        <f t="shared" si="4"/>
        <v>Not Eligible</v>
      </c>
      <c r="H34" s="4">
        <f t="shared" si="5"/>
        <v>0.1</v>
      </c>
    </row>
    <row r="35" spans="1:10" x14ac:dyDescent="0.3">
      <c r="A35" s="2">
        <v>104</v>
      </c>
      <c r="B35" s="2" t="s">
        <v>5</v>
      </c>
      <c r="C35" s="2">
        <v>90</v>
      </c>
      <c r="D35" s="2">
        <v>100</v>
      </c>
      <c r="E35" s="2" t="s">
        <v>14</v>
      </c>
      <c r="F35" s="2" t="str">
        <f t="shared" si="3"/>
        <v>No</v>
      </c>
      <c r="G35" s="2" t="str">
        <f t="shared" si="4"/>
        <v>Not Eligible</v>
      </c>
      <c r="H35" s="4">
        <f t="shared" si="5"/>
        <v>0.05</v>
      </c>
    </row>
    <row r="36" spans="1:10" x14ac:dyDescent="0.3">
      <c r="A36" s="2">
        <v>105</v>
      </c>
      <c r="B36" s="2" t="s">
        <v>6</v>
      </c>
      <c r="C36" s="2">
        <v>220</v>
      </c>
      <c r="D36" s="2">
        <v>210</v>
      </c>
      <c r="E36" s="2" t="s">
        <v>11</v>
      </c>
      <c r="F36" s="2" t="str">
        <f t="shared" si="3"/>
        <v>Yes</v>
      </c>
      <c r="G36" s="2" t="str">
        <f t="shared" si="4"/>
        <v>Eligible</v>
      </c>
      <c r="H36" s="4">
        <f t="shared" si="5"/>
        <v>0.1</v>
      </c>
    </row>
    <row r="37" spans="1:10" x14ac:dyDescent="0.3">
      <c r="A37" s="2">
        <v>106</v>
      </c>
      <c r="B37" s="2" t="s">
        <v>7</v>
      </c>
      <c r="C37" s="2">
        <v>130</v>
      </c>
      <c r="D37" s="2">
        <v>160</v>
      </c>
      <c r="E37" s="2" t="s">
        <v>12</v>
      </c>
      <c r="F37" s="2" t="str">
        <f t="shared" si="3"/>
        <v>No</v>
      </c>
      <c r="G37" s="2" t="str">
        <f t="shared" si="4"/>
        <v>Not Eligible</v>
      </c>
      <c r="H37" s="4">
        <f t="shared" si="5"/>
        <v>0.05</v>
      </c>
    </row>
    <row r="39" spans="1:10" s="1" customFormat="1" x14ac:dyDescent="0.3">
      <c r="A39" s="1" t="s">
        <v>21</v>
      </c>
    </row>
    <row r="41" spans="1:10" x14ac:dyDescent="0.3">
      <c r="A41" s="9" t="s">
        <v>0</v>
      </c>
      <c r="B41" s="9" t="s">
        <v>1</v>
      </c>
      <c r="C41" s="9" t="s">
        <v>8</v>
      </c>
      <c r="D41" s="9" t="s">
        <v>9</v>
      </c>
      <c r="E41" s="9" t="s">
        <v>10</v>
      </c>
      <c r="F41" s="9" t="s">
        <v>16</v>
      </c>
      <c r="G41" s="9" t="s">
        <v>18</v>
      </c>
      <c r="H41" s="9" t="s">
        <v>20</v>
      </c>
      <c r="I41" s="9" t="s">
        <v>23</v>
      </c>
      <c r="J41" s="9" t="s">
        <v>22</v>
      </c>
    </row>
    <row r="42" spans="1:10" x14ac:dyDescent="0.3">
      <c r="A42" s="2">
        <v>101</v>
      </c>
      <c r="B42" s="2" t="s">
        <v>2</v>
      </c>
      <c r="C42" s="2">
        <v>120</v>
      </c>
      <c r="D42" s="2">
        <v>150</v>
      </c>
      <c r="E42" s="2" t="s">
        <v>11</v>
      </c>
      <c r="F42" s="2" t="str">
        <f>IF(C42&gt;=D42,"Yes","No")</f>
        <v>No</v>
      </c>
      <c r="G42" s="2" t="str">
        <f>IF(AND(E42="North",C42&gt;200),"Eligible","Not Eligible")</f>
        <v>Not Eligible</v>
      </c>
      <c r="H42" s="5">
        <f>IF(C42&gt;=200,10%,IF(C42&gt;=150,7%,5%))</f>
        <v>0.05</v>
      </c>
      <c r="I42" s="5">
        <f>IF(C42&gt;=D42,10%,5%)</f>
        <v>0.05</v>
      </c>
      <c r="J42" s="3">
        <f>I42*C42</f>
        <v>6</v>
      </c>
    </row>
    <row r="43" spans="1:10" x14ac:dyDescent="0.3">
      <c r="A43" s="2">
        <v>102</v>
      </c>
      <c r="B43" s="2" t="s">
        <v>3</v>
      </c>
      <c r="C43" s="2">
        <v>150</v>
      </c>
      <c r="D43" s="2">
        <v>140</v>
      </c>
      <c r="E43" s="2" t="s">
        <v>12</v>
      </c>
      <c r="F43" s="2" t="str">
        <f t="shared" ref="F43:F47" si="6">IF(C43&gt;=D43,"Yes","No")</f>
        <v>Yes</v>
      </c>
      <c r="G43" s="2" t="str">
        <f t="shared" ref="G43:G47" si="7">IF(AND(E43="North",C43&gt;200),"Eligible","Not Eligible")</f>
        <v>Not Eligible</v>
      </c>
      <c r="H43" s="5">
        <f t="shared" ref="H43:H47" si="8">IF(C43&gt;=200,10%,IF(C43&gt;=150,7%,5%))</f>
        <v>7.0000000000000007E-2</v>
      </c>
      <c r="I43" s="5">
        <f t="shared" ref="I43:I47" si="9">IF(C43&gt;=D43,10%,5%)</f>
        <v>0.1</v>
      </c>
      <c r="J43" s="3">
        <f t="shared" ref="J43:J47" si="10">I43*C43</f>
        <v>15</v>
      </c>
    </row>
    <row r="44" spans="1:10" x14ac:dyDescent="0.3">
      <c r="A44" s="2">
        <v>103</v>
      </c>
      <c r="B44" s="2" t="s">
        <v>4</v>
      </c>
      <c r="C44" s="2">
        <v>200</v>
      </c>
      <c r="D44" s="2">
        <v>200</v>
      </c>
      <c r="E44" s="2" t="s">
        <v>13</v>
      </c>
      <c r="F44" s="2" t="str">
        <f t="shared" si="6"/>
        <v>Yes</v>
      </c>
      <c r="G44" s="2" t="str">
        <f t="shared" si="7"/>
        <v>Not Eligible</v>
      </c>
      <c r="H44" s="5">
        <f t="shared" si="8"/>
        <v>0.1</v>
      </c>
      <c r="I44" s="5">
        <f t="shared" si="9"/>
        <v>0.1</v>
      </c>
      <c r="J44" s="3">
        <f t="shared" si="10"/>
        <v>20</v>
      </c>
    </row>
    <row r="45" spans="1:10" x14ac:dyDescent="0.3">
      <c r="A45" s="2">
        <v>104</v>
      </c>
      <c r="B45" s="2" t="s">
        <v>5</v>
      </c>
      <c r="C45" s="2">
        <v>90</v>
      </c>
      <c r="D45" s="2">
        <v>100</v>
      </c>
      <c r="E45" s="2" t="s">
        <v>14</v>
      </c>
      <c r="F45" s="2" t="str">
        <f t="shared" si="6"/>
        <v>No</v>
      </c>
      <c r="G45" s="2" t="str">
        <f t="shared" si="7"/>
        <v>Not Eligible</v>
      </c>
      <c r="H45" s="5">
        <f t="shared" si="8"/>
        <v>0.05</v>
      </c>
      <c r="I45" s="5">
        <f t="shared" si="9"/>
        <v>0.05</v>
      </c>
      <c r="J45" s="3">
        <f t="shared" si="10"/>
        <v>4.5</v>
      </c>
    </row>
    <row r="46" spans="1:10" x14ac:dyDescent="0.3">
      <c r="A46" s="2">
        <v>105</v>
      </c>
      <c r="B46" s="2" t="s">
        <v>6</v>
      </c>
      <c r="C46" s="2">
        <v>220</v>
      </c>
      <c r="D46" s="2">
        <v>210</v>
      </c>
      <c r="E46" s="2" t="s">
        <v>11</v>
      </c>
      <c r="F46" s="2" t="str">
        <f t="shared" si="6"/>
        <v>Yes</v>
      </c>
      <c r="G46" s="2" t="str">
        <f t="shared" si="7"/>
        <v>Eligible</v>
      </c>
      <c r="H46" s="5">
        <f t="shared" si="8"/>
        <v>0.1</v>
      </c>
      <c r="I46" s="5">
        <f t="shared" si="9"/>
        <v>0.1</v>
      </c>
      <c r="J46" s="3">
        <f t="shared" si="10"/>
        <v>22</v>
      </c>
    </row>
    <row r="47" spans="1:10" x14ac:dyDescent="0.3">
      <c r="A47" s="2">
        <v>106</v>
      </c>
      <c r="B47" s="2" t="s">
        <v>7</v>
      </c>
      <c r="C47" s="2">
        <v>130</v>
      </c>
      <c r="D47" s="2">
        <v>160</v>
      </c>
      <c r="E47" s="2" t="s">
        <v>12</v>
      </c>
      <c r="F47" s="2" t="str">
        <f t="shared" si="6"/>
        <v>No</v>
      </c>
      <c r="G47" s="2" t="str">
        <f t="shared" si="7"/>
        <v>Not Eligible</v>
      </c>
      <c r="H47" s="5">
        <f t="shared" si="8"/>
        <v>0.05</v>
      </c>
      <c r="I47" s="5">
        <f t="shared" si="9"/>
        <v>0.05</v>
      </c>
      <c r="J47" s="3">
        <f t="shared" si="10"/>
        <v>6.5</v>
      </c>
    </row>
    <row r="49" spans="1:12" x14ac:dyDescent="0.3">
      <c r="A49" s="1" t="s">
        <v>24</v>
      </c>
      <c r="B49" s="1"/>
      <c r="C49" s="1"/>
      <c r="D49" s="1"/>
      <c r="E49" s="1"/>
      <c r="F49" s="1"/>
      <c r="G49" s="1"/>
      <c r="H49" s="1"/>
      <c r="I49" s="1"/>
    </row>
    <row r="51" spans="1:12" x14ac:dyDescent="0.3">
      <c r="A51" s="9" t="s">
        <v>0</v>
      </c>
      <c r="B51" s="9" t="s">
        <v>1</v>
      </c>
      <c r="C51" s="9" t="s">
        <v>8</v>
      </c>
      <c r="D51" s="9" t="s">
        <v>9</v>
      </c>
      <c r="E51" s="9" t="s">
        <v>10</v>
      </c>
      <c r="F51" s="9" t="s">
        <v>16</v>
      </c>
      <c r="G51" s="9" t="s">
        <v>18</v>
      </c>
      <c r="H51" s="9" t="s">
        <v>20</v>
      </c>
      <c r="I51" s="9" t="s">
        <v>23</v>
      </c>
      <c r="J51" s="9" t="s">
        <v>22</v>
      </c>
      <c r="K51" s="9" t="s">
        <v>25</v>
      </c>
    </row>
    <row r="52" spans="1:12" x14ac:dyDescent="0.3">
      <c r="A52" s="2">
        <v>101</v>
      </c>
      <c r="B52" s="2" t="s">
        <v>2</v>
      </c>
      <c r="C52" s="2">
        <v>120</v>
      </c>
      <c r="D52" s="2">
        <v>150</v>
      </c>
      <c r="E52" s="2" t="s">
        <v>11</v>
      </c>
      <c r="F52" s="2" t="str">
        <f>IF(C52&gt;=D52,"Yes","No")</f>
        <v>No</v>
      </c>
      <c r="G52" s="2" t="str">
        <f>IF(AND(E52="North",C52&gt;200),"Eligible","Not Eligible")</f>
        <v>Not Eligible</v>
      </c>
      <c r="H52" s="5">
        <f>IF(C52&gt;=200,10%,IF(C52&gt;=150,7%,5%))</f>
        <v>0.05</v>
      </c>
      <c r="I52" s="5">
        <f>IF(C52&gt;=D52,10%,5%)</f>
        <v>0.05</v>
      </c>
      <c r="J52" s="2">
        <f>I52*C52</f>
        <v>6</v>
      </c>
      <c r="K52" s="3" t="str">
        <f>IF(C52&gt;=200,"Excellent",IF(C52&gt;=150,"Good","Need Improvement"))</f>
        <v>Need Improvement</v>
      </c>
    </row>
    <row r="53" spans="1:12" x14ac:dyDescent="0.3">
      <c r="A53" s="2">
        <v>102</v>
      </c>
      <c r="B53" s="2" t="s">
        <v>3</v>
      </c>
      <c r="C53" s="2">
        <v>150</v>
      </c>
      <c r="D53" s="2">
        <v>140</v>
      </c>
      <c r="E53" s="2" t="s">
        <v>12</v>
      </c>
      <c r="F53" s="2" t="str">
        <f t="shared" ref="F53:F57" si="11">IF(C53&gt;=D53,"Yes","No")</f>
        <v>Yes</v>
      </c>
      <c r="G53" s="2" t="str">
        <f t="shared" ref="G53:G57" si="12">IF(AND(E53="North",C53&gt;200),"Eligible","Not Eligible")</f>
        <v>Not Eligible</v>
      </c>
      <c r="H53" s="5">
        <f t="shared" ref="H53:H57" si="13">IF(C53&gt;=200,10%,IF(C53&gt;=150,7%,5%))</f>
        <v>7.0000000000000007E-2</v>
      </c>
      <c r="I53" s="5">
        <f t="shared" ref="I53:I57" si="14">IF(C53&gt;=D53,10%,5%)</f>
        <v>0.1</v>
      </c>
      <c r="J53" s="2">
        <f t="shared" ref="J53:J57" si="15">I53*C53</f>
        <v>15</v>
      </c>
      <c r="K53" s="3" t="str">
        <f t="shared" ref="K53:K57" si="16">IF(C53&gt;=200,"Excellent",IF(C53&gt;=150,"Good","Need Improvement"))</f>
        <v>Good</v>
      </c>
    </row>
    <row r="54" spans="1:12" x14ac:dyDescent="0.3">
      <c r="A54" s="2">
        <v>103</v>
      </c>
      <c r="B54" s="2" t="s">
        <v>4</v>
      </c>
      <c r="C54" s="2">
        <v>200</v>
      </c>
      <c r="D54" s="2">
        <v>200</v>
      </c>
      <c r="E54" s="2" t="s">
        <v>13</v>
      </c>
      <c r="F54" s="2" t="str">
        <f t="shared" si="11"/>
        <v>Yes</v>
      </c>
      <c r="G54" s="2" t="str">
        <f t="shared" si="12"/>
        <v>Not Eligible</v>
      </c>
      <c r="H54" s="5">
        <f t="shared" si="13"/>
        <v>0.1</v>
      </c>
      <c r="I54" s="5">
        <f t="shared" si="14"/>
        <v>0.1</v>
      </c>
      <c r="J54" s="2">
        <f t="shared" si="15"/>
        <v>20</v>
      </c>
      <c r="K54" s="3" t="str">
        <f t="shared" si="16"/>
        <v>Excellent</v>
      </c>
    </row>
    <row r="55" spans="1:12" x14ac:dyDescent="0.3">
      <c r="A55" s="2">
        <v>104</v>
      </c>
      <c r="B55" s="2" t="s">
        <v>5</v>
      </c>
      <c r="C55" s="2">
        <v>90</v>
      </c>
      <c r="D55" s="2">
        <v>100</v>
      </c>
      <c r="E55" s="2" t="s">
        <v>14</v>
      </c>
      <c r="F55" s="2" t="str">
        <f t="shared" si="11"/>
        <v>No</v>
      </c>
      <c r="G55" s="2" t="str">
        <f t="shared" si="12"/>
        <v>Not Eligible</v>
      </c>
      <c r="H55" s="5">
        <f t="shared" si="13"/>
        <v>0.05</v>
      </c>
      <c r="I55" s="5">
        <f t="shared" si="14"/>
        <v>0.05</v>
      </c>
      <c r="J55" s="2">
        <f t="shared" si="15"/>
        <v>4.5</v>
      </c>
      <c r="K55" s="3" t="str">
        <f t="shared" si="16"/>
        <v>Need Improvement</v>
      </c>
    </row>
    <row r="56" spans="1:12" x14ac:dyDescent="0.3">
      <c r="A56" s="2">
        <v>105</v>
      </c>
      <c r="B56" s="2" t="s">
        <v>6</v>
      </c>
      <c r="C56" s="2">
        <v>220</v>
      </c>
      <c r="D56" s="2">
        <v>210</v>
      </c>
      <c r="E56" s="2" t="s">
        <v>11</v>
      </c>
      <c r="F56" s="2" t="str">
        <f t="shared" si="11"/>
        <v>Yes</v>
      </c>
      <c r="G56" s="2" t="str">
        <f t="shared" si="12"/>
        <v>Eligible</v>
      </c>
      <c r="H56" s="5">
        <f t="shared" si="13"/>
        <v>0.1</v>
      </c>
      <c r="I56" s="5">
        <f t="shared" si="14"/>
        <v>0.1</v>
      </c>
      <c r="J56" s="2">
        <f t="shared" si="15"/>
        <v>22</v>
      </c>
      <c r="K56" s="3" t="str">
        <f t="shared" si="16"/>
        <v>Excellent</v>
      </c>
    </row>
    <row r="57" spans="1:12" x14ac:dyDescent="0.3">
      <c r="A57" s="2">
        <v>106</v>
      </c>
      <c r="B57" s="2" t="s">
        <v>7</v>
      </c>
      <c r="C57" s="2">
        <v>130</v>
      </c>
      <c r="D57" s="2">
        <v>160</v>
      </c>
      <c r="E57" s="2" t="s">
        <v>12</v>
      </c>
      <c r="F57" s="2" t="str">
        <f t="shared" si="11"/>
        <v>No</v>
      </c>
      <c r="G57" s="2" t="str">
        <f t="shared" si="12"/>
        <v>Not Eligible</v>
      </c>
      <c r="H57" s="5">
        <f t="shared" si="13"/>
        <v>0.05</v>
      </c>
      <c r="I57" s="5">
        <f t="shared" si="14"/>
        <v>0.05</v>
      </c>
      <c r="J57" s="2">
        <f t="shared" si="15"/>
        <v>6.5</v>
      </c>
      <c r="K57" s="3" t="str">
        <f t="shared" si="16"/>
        <v>Need Improvement</v>
      </c>
    </row>
    <row r="59" spans="1:12" x14ac:dyDescent="0.3">
      <c r="A59" s="1" t="s">
        <v>26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1" spans="1:12" x14ac:dyDescent="0.3">
      <c r="A61" s="9" t="s">
        <v>0</v>
      </c>
      <c r="B61" s="9" t="s">
        <v>1</v>
      </c>
      <c r="C61" s="9" t="s">
        <v>8</v>
      </c>
      <c r="D61" s="9" t="s">
        <v>9</v>
      </c>
      <c r="E61" s="9" t="s">
        <v>10</v>
      </c>
      <c r="F61" s="9" t="s">
        <v>16</v>
      </c>
      <c r="G61" s="9" t="s">
        <v>18</v>
      </c>
      <c r="H61" s="9" t="s">
        <v>20</v>
      </c>
      <c r="I61" s="9" t="s">
        <v>23</v>
      </c>
      <c r="J61" s="9" t="s">
        <v>22</v>
      </c>
      <c r="K61" s="9" t="s">
        <v>25</v>
      </c>
      <c r="L61" s="9" t="s">
        <v>27</v>
      </c>
    </row>
    <row r="62" spans="1:12" x14ac:dyDescent="0.3">
      <c r="A62" s="2">
        <v>101</v>
      </c>
      <c r="B62" s="2" t="s">
        <v>2</v>
      </c>
      <c r="C62" s="2">
        <v>120</v>
      </c>
      <c r="D62" s="2">
        <v>150</v>
      </c>
      <c r="E62" s="2" t="s">
        <v>11</v>
      </c>
      <c r="F62" s="2" t="str">
        <f>IF(C62&gt;=D62,"Yes","No")</f>
        <v>No</v>
      </c>
      <c r="G62" s="2" t="str">
        <f>IF(AND(E62="North",C62&gt;200),"Eligible","Not Eligible")</f>
        <v>Not Eligible</v>
      </c>
      <c r="H62" s="5">
        <f>IF(C62&gt;=200,10%,IF(C62&gt;=150,7%,5%))</f>
        <v>0.05</v>
      </c>
      <c r="I62" s="5">
        <f>IF(C62&gt;=D62,10%,5%)</f>
        <v>0.05</v>
      </c>
      <c r="J62" s="2">
        <f>I62*C62</f>
        <v>6</v>
      </c>
      <c r="K62" s="2" t="str">
        <f>IF(C62&gt;=200,"Excellent",IF(C62&gt;=150,"Good","Need Improvement"))</f>
        <v>Need Improvement</v>
      </c>
      <c r="L62" s="3" t="str">
        <f>IF(C62&gt;200,"High",IF(C62&gt;=100,"Medium","Low"))</f>
        <v>Medium</v>
      </c>
    </row>
    <row r="63" spans="1:12" x14ac:dyDescent="0.3">
      <c r="A63" s="2">
        <v>102</v>
      </c>
      <c r="B63" s="2" t="s">
        <v>3</v>
      </c>
      <c r="C63" s="2">
        <v>150</v>
      </c>
      <c r="D63" s="2">
        <v>140</v>
      </c>
      <c r="E63" s="2" t="s">
        <v>12</v>
      </c>
      <c r="F63" s="2" t="str">
        <f t="shared" ref="F63:F67" si="17">IF(C63&gt;=D63,"Yes","No")</f>
        <v>Yes</v>
      </c>
      <c r="G63" s="2" t="str">
        <f t="shared" ref="G63:G67" si="18">IF(AND(E63="North",C63&gt;200),"Eligible","Not Eligible")</f>
        <v>Not Eligible</v>
      </c>
      <c r="H63" s="5">
        <f t="shared" ref="H63:H67" si="19">IF(C63&gt;=200,10%,IF(C63&gt;=150,7%,5%))</f>
        <v>7.0000000000000007E-2</v>
      </c>
      <c r="I63" s="5">
        <f t="shared" ref="I63:I67" si="20">IF(C63&gt;=D63,10%,5%)</f>
        <v>0.1</v>
      </c>
      <c r="J63" s="2">
        <f t="shared" ref="J63:J67" si="21">I63*C63</f>
        <v>15</v>
      </c>
      <c r="K63" s="2" t="str">
        <f t="shared" ref="K63:K67" si="22">IF(C63&gt;=200,"Excellent",IF(C63&gt;=150,"Good","Need Improvement"))</f>
        <v>Good</v>
      </c>
      <c r="L63" s="3" t="str">
        <f t="shared" ref="L63:L67" si="23">IF(C63&gt;200,"High",IF(C63&gt;=100,"Medium","Low"))</f>
        <v>Medium</v>
      </c>
    </row>
    <row r="64" spans="1:12" x14ac:dyDescent="0.3">
      <c r="A64" s="2">
        <v>103</v>
      </c>
      <c r="B64" s="2" t="s">
        <v>4</v>
      </c>
      <c r="C64" s="2">
        <v>200</v>
      </c>
      <c r="D64" s="2">
        <v>200</v>
      </c>
      <c r="E64" s="2" t="s">
        <v>13</v>
      </c>
      <c r="F64" s="2" t="str">
        <f t="shared" si="17"/>
        <v>Yes</v>
      </c>
      <c r="G64" s="2" t="str">
        <f t="shared" si="18"/>
        <v>Not Eligible</v>
      </c>
      <c r="H64" s="5">
        <f t="shared" si="19"/>
        <v>0.1</v>
      </c>
      <c r="I64" s="5">
        <f t="shared" si="20"/>
        <v>0.1</v>
      </c>
      <c r="J64" s="2">
        <f t="shared" si="21"/>
        <v>20</v>
      </c>
      <c r="K64" s="2" t="str">
        <f t="shared" si="22"/>
        <v>Excellent</v>
      </c>
      <c r="L64" s="3" t="str">
        <f t="shared" si="23"/>
        <v>Medium</v>
      </c>
    </row>
    <row r="65" spans="1:13" x14ac:dyDescent="0.3">
      <c r="A65" s="2">
        <v>104</v>
      </c>
      <c r="B65" s="2" t="s">
        <v>5</v>
      </c>
      <c r="C65" s="2">
        <v>90</v>
      </c>
      <c r="D65" s="2">
        <v>100</v>
      </c>
      <c r="E65" s="2" t="s">
        <v>14</v>
      </c>
      <c r="F65" s="2" t="str">
        <f t="shared" si="17"/>
        <v>No</v>
      </c>
      <c r="G65" s="2" t="str">
        <f t="shared" si="18"/>
        <v>Not Eligible</v>
      </c>
      <c r="H65" s="5">
        <f t="shared" si="19"/>
        <v>0.05</v>
      </c>
      <c r="I65" s="5">
        <f t="shared" si="20"/>
        <v>0.05</v>
      </c>
      <c r="J65" s="2">
        <f t="shared" si="21"/>
        <v>4.5</v>
      </c>
      <c r="K65" s="2" t="str">
        <f t="shared" si="22"/>
        <v>Need Improvement</v>
      </c>
      <c r="L65" s="3" t="str">
        <f t="shared" si="23"/>
        <v>Low</v>
      </c>
    </row>
    <row r="66" spans="1:13" x14ac:dyDescent="0.3">
      <c r="A66" s="2">
        <v>105</v>
      </c>
      <c r="B66" s="2" t="s">
        <v>6</v>
      </c>
      <c r="C66" s="2">
        <v>220</v>
      </c>
      <c r="D66" s="2">
        <v>210</v>
      </c>
      <c r="E66" s="2" t="s">
        <v>11</v>
      </c>
      <c r="F66" s="2" t="str">
        <f t="shared" si="17"/>
        <v>Yes</v>
      </c>
      <c r="G66" s="2" t="str">
        <f t="shared" si="18"/>
        <v>Eligible</v>
      </c>
      <c r="H66" s="5">
        <f t="shared" si="19"/>
        <v>0.1</v>
      </c>
      <c r="I66" s="5">
        <f t="shared" si="20"/>
        <v>0.1</v>
      </c>
      <c r="J66" s="2">
        <f t="shared" si="21"/>
        <v>22</v>
      </c>
      <c r="K66" s="2" t="str">
        <f t="shared" si="22"/>
        <v>Excellent</v>
      </c>
      <c r="L66" s="3" t="str">
        <f t="shared" si="23"/>
        <v>High</v>
      </c>
    </row>
    <row r="67" spans="1:13" x14ac:dyDescent="0.3">
      <c r="A67" s="2">
        <v>106</v>
      </c>
      <c r="B67" s="2" t="s">
        <v>7</v>
      </c>
      <c r="C67" s="2">
        <v>130</v>
      </c>
      <c r="D67" s="2">
        <v>160</v>
      </c>
      <c r="E67" s="2" t="s">
        <v>12</v>
      </c>
      <c r="F67" s="2" t="str">
        <f t="shared" si="17"/>
        <v>No</v>
      </c>
      <c r="G67" s="2" t="str">
        <f t="shared" si="18"/>
        <v>Not Eligible</v>
      </c>
      <c r="H67" s="5">
        <f t="shared" si="19"/>
        <v>0.05</v>
      </c>
      <c r="I67" s="5">
        <f t="shared" si="20"/>
        <v>0.05</v>
      </c>
      <c r="J67" s="2">
        <f t="shared" si="21"/>
        <v>6.5</v>
      </c>
      <c r="K67" s="2" t="str">
        <f t="shared" si="22"/>
        <v>Need Improvement</v>
      </c>
      <c r="L67" s="3" t="str">
        <f t="shared" si="23"/>
        <v>Medium</v>
      </c>
    </row>
    <row r="69" spans="1:13" s="1" customFormat="1" x14ac:dyDescent="0.3">
      <c r="A69" s="1" t="s">
        <v>28</v>
      </c>
    </row>
    <row r="71" spans="1:13" x14ac:dyDescent="0.3">
      <c r="A71" s="9" t="s">
        <v>0</v>
      </c>
      <c r="B71" s="9" t="s">
        <v>1</v>
      </c>
      <c r="C71" s="9" t="s">
        <v>8</v>
      </c>
      <c r="D71" s="9" t="s">
        <v>9</v>
      </c>
      <c r="E71" s="9" t="s">
        <v>10</v>
      </c>
      <c r="F71" s="9" t="s">
        <v>16</v>
      </c>
      <c r="G71" s="9" t="s">
        <v>18</v>
      </c>
      <c r="H71" s="9" t="s">
        <v>20</v>
      </c>
      <c r="I71" s="9" t="s">
        <v>23</v>
      </c>
      <c r="J71" s="9" t="s">
        <v>22</v>
      </c>
      <c r="K71" s="9" t="s">
        <v>25</v>
      </c>
      <c r="L71" s="9" t="s">
        <v>27</v>
      </c>
      <c r="M71" s="9" t="s">
        <v>29</v>
      </c>
    </row>
    <row r="72" spans="1:13" x14ac:dyDescent="0.3">
      <c r="A72" s="2">
        <v>101</v>
      </c>
      <c r="B72" s="2" t="s">
        <v>2</v>
      </c>
      <c r="C72" s="2">
        <v>120</v>
      </c>
      <c r="D72" s="2">
        <v>150</v>
      </c>
      <c r="E72" s="2" t="s">
        <v>11</v>
      </c>
      <c r="F72" s="2" t="str">
        <f>IF(C72&gt;=D72,"Yes","No")</f>
        <v>No</v>
      </c>
      <c r="G72" s="2" t="str">
        <f>IF(AND(E72="North",C72&gt;200),"Eligible","Not Eligible")</f>
        <v>Not Eligible</v>
      </c>
      <c r="H72" s="5">
        <f>IF(C72&gt;=200,10%,IF(C72&gt;=150,7%,5%))</f>
        <v>0.05</v>
      </c>
      <c r="I72" s="5">
        <f>IF(C72&gt;=D72,10%,5%)</f>
        <v>0.05</v>
      </c>
      <c r="J72" s="2">
        <f>I72*C72</f>
        <v>6</v>
      </c>
      <c r="K72" s="2" t="str">
        <f>IF(C72&gt;=200,"Excellent",IF(C72&gt;=150,"Good","Need Improvement"))</f>
        <v>Need Improvement</v>
      </c>
      <c r="L72" s="2" t="str">
        <f>IF(C72&gt;200,"High",IF(C72&gt;=100,"Medium","Low"))</f>
        <v>Medium</v>
      </c>
      <c r="M72" s="6">
        <f>IF(AND(C72&gt;=150,E72="North"),500,300)</f>
        <v>300</v>
      </c>
    </row>
    <row r="73" spans="1:13" x14ac:dyDescent="0.3">
      <c r="A73" s="2">
        <v>102</v>
      </c>
      <c r="B73" s="2" t="s">
        <v>3</v>
      </c>
      <c r="C73" s="2">
        <v>150</v>
      </c>
      <c r="D73" s="2">
        <v>140</v>
      </c>
      <c r="E73" s="2" t="s">
        <v>12</v>
      </c>
      <c r="F73" s="2" t="str">
        <f t="shared" ref="F73:F77" si="24">IF(C73&gt;=D73,"Yes","No")</f>
        <v>Yes</v>
      </c>
      <c r="G73" s="2" t="str">
        <f t="shared" ref="G73:G77" si="25">IF(AND(E73="North",C73&gt;200),"Eligible","Not Eligible")</f>
        <v>Not Eligible</v>
      </c>
      <c r="H73" s="5">
        <f t="shared" ref="H73:H77" si="26">IF(C73&gt;=200,10%,IF(C73&gt;=150,7%,5%))</f>
        <v>7.0000000000000007E-2</v>
      </c>
      <c r="I73" s="5">
        <f t="shared" ref="I73:I77" si="27">IF(C73&gt;=D73,10%,5%)</f>
        <v>0.1</v>
      </c>
      <c r="J73" s="2">
        <f t="shared" ref="J73:J77" si="28">I73*C73</f>
        <v>15</v>
      </c>
      <c r="K73" s="2" t="str">
        <f t="shared" ref="K73:K77" si="29">IF(C73&gt;=200,"Excellent",IF(C73&gt;=150,"Good","Need Improvement"))</f>
        <v>Good</v>
      </c>
      <c r="L73" s="2" t="str">
        <f t="shared" ref="L73:L77" si="30">IF(C73&gt;200,"High",IF(C73&gt;=100,"Medium","Low"))</f>
        <v>Medium</v>
      </c>
      <c r="M73" s="6">
        <f t="shared" ref="M73:M77" si="31">IF(AND(C73&gt;=150,E73="North"),500,300)</f>
        <v>300</v>
      </c>
    </row>
    <row r="74" spans="1:13" x14ac:dyDescent="0.3">
      <c r="A74" s="2">
        <v>103</v>
      </c>
      <c r="B74" s="2" t="s">
        <v>4</v>
      </c>
      <c r="C74" s="2">
        <v>200</v>
      </c>
      <c r="D74" s="2">
        <v>200</v>
      </c>
      <c r="E74" s="2" t="s">
        <v>13</v>
      </c>
      <c r="F74" s="2" t="str">
        <f t="shared" si="24"/>
        <v>Yes</v>
      </c>
      <c r="G74" s="2" t="str">
        <f t="shared" si="25"/>
        <v>Not Eligible</v>
      </c>
      <c r="H74" s="5">
        <f t="shared" si="26"/>
        <v>0.1</v>
      </c>
      <c r="I74" s="5">
        <f t="shared" si="27"/>
        <v>0.1</v>
      </c>
      <c r="J74" s="2">
        <f t="shared" si="28"/>
        <v>20</v>
      </c>
      <c r="K74" s="2" t="str">
        <f t="shared" si="29"/>
        <v>Excellent</v>
      </c>
      <c r="L74" s="2" t="str">
        <f t="shared" si="30"/>
        <v>Medium</v>
      </c>
      <c r="M74" s="6">
        <f t="shared" si="31"/>
        <v>300</v>
      </c>
    </row>
    <row r="75" spans="1:13" x14ac:dyDescent="0.3">
      <c r="A75" s="2">
        <v>104</v>
      </c>
      <c r="B75" s="2" t="s">
        <v>5</v>
      </c>
      <c r="C75" s="2">
        <v>90</v>
      </c>
      <c r="D75" s="2">
        <v>100</v>
      </c>
      <c r="E75" s="2" t="s">
        <v>14</v>
      </c>
      <c r="F75" s="2" t="str">
        <f t="shared" si="24"/>
        <v>No</v>
      </c>
      <c r="G75" s="2" t="str">
        <f t="shared" si="25"/>
        <v>Not Eligible</v>
      </c>
      <c r="H75" s="5">
        <f t="shared" si="26"/>
        <v>0.05</v>
      </c>
      <c r="I75" s="5">
        <f t="shared" si="27"/>
        <v>0.05</v>
      </c>
      <c r="J75" s="2">
        <f t="shared" si="28"/>
        <v>4.5</v>
      </c>
      <c r="K75" s="2" t="str">
        <f t="shared" si="29"/>
        <v>Need Improvement</v>
      </c>
      <c r="L75" s="2" t="str">
        <f t="shared" si="30"/>
        <v>Low</v>
      </c>
      <c r="M75" s="6">
        <f t="shared" si="31"/>
        <v>300</v>
      </c>
    </row>
    <row r="76" spans="1:13" x14ac:dyDescent="0.3">
      <c r="A76" s="2">
        <v>105</v>
      </c>
      <c r="B76" s="2" t="s">
        <v>6</v>
      </c>
      <c r="C76" s="2">
        <v>220</v>
      </c>
      <c r="D76" s="2">
        <v>210</v>
      </c>
      <c r="E76" s="2" t="s">
        <v>11</v>
      </c>
      <c r="F76" s="2" t="str">
        <f t="shared" si="24"/>
        <v>Yes</v>
      </c>
      <c r="G76" s="2" t="str">
        <f t="shared" si="25"/>
        <v>Eligible</v>
      </c>
      <c r="H76" s="5">
        <f t="shared" si="26"/>
        <v>0.1</v>
      </c>
      <c r="I76" s="5">
        <f t="shared" si="27"/>
        <v>0.1</v>
      </c>
      <c r="J76" s="2">
        <f t="shared" si="28"/>
        <v>22</v>
      </c>
      <c r="K76" s="2" t="str">
        <f t="shared" si="29"/>
        <v>Excellent</v>
      </c>
      <c r="L76" s="2" t="str">
        <f t="shared" si="30"/>
        <v>High</v>
      </c>
      <c r="M76" s="6">
        <f t="shared" si="31"/>
        <v>500</v>
      </c>
    </row>
    <row r="77" spans="1:13" x14ac:dyDescent="0.3">
      <c r="A77" s="2">
        <v>106</v>
      </c>
      <c r="B77" s="2" t="s">
        <v>7</v>
      </c>
      <c r="C77" s="2">
        <v>130</v>
      </c>
      <c r="D77" s="2">
        <v>160</v>
      </c>
      <c r="E77" s="2" t="s">
        <v>12</v>
      </c>
      <c r="F77" s="2" t="str">
        <f t="shared" si="24"/>
        <v>No</v>
      </c>
      <c r="G77" s="2" t="str">
        <f t="shared" si="25"/>
        <v>Not Eligible</v>
      </c>
      <c r="H77" s="5">
        <f t="shared" si="26"/>
        <v>0.05</v>
      </c>
      <c r="I77" s="5">
        <f t="shared" si="27"/>
        <v>0.05</v>
      </c>
      <c r="J77" s="2">
        <f t="shared" si="28"/>
        <v>6.5</v>
      </c>
      <c r="K77" s="2" t="str">
        <f t="shared" si="29"/>
        <v>Need Improvement</v>
      </c>
      <c r="L77" s="2" t="str">
        <f t="shared" si="30"/>
        <v>Medium</v>
      </c>
      <c r="M77" s="6">
        <f t="shared" si="31"/>
        <v>300</v>
      </c>
    </row>
    <row r="79" spans="1:13" s="1" customFormat="1" x14ac:dyDescent="0.3">
      <c r="A79" s="1" t="s">
        <v>30</v>
      </c>
    </row>
    <row r="81" spans="1:14" x14ac:dyDescent="0.3">
      <c r="A81" s="9" t="s">
        <v>0</v>
      </c>
      <c r="B81" s="9" t="s">
        <v>1</v>
      </c>
      <c r="C81" s="9" t="s">
        <v>8</v>
      </c>
      <c r="D81" s="9" t="s">
        <v>9</v>
      </c>
      <c r="E81" s="9" t="s">
        <v>10</v>
      </c>
      <c r="F81" s="9" t="s">
        <v>16</v>
      </c>
      <c r="G81" s="9" t="s">
        <v>18</v>
      </c>
      <c r="H81" s="9" t="s">
        <v>20</v>
      </c>
      <c r="I81" s="9" t="s">
        <v>23</v>
      </c>
      <c r="J81" s="9" t="s">
        <v>22</v>
      </c>
      <c r="K81" s="9" t="s">
        <v>25</v>
      </c>
      <c r="L81" s="9" t="s">
        <v>27</v>
      </c>
      <c r="M81" s="9" t="s">
        <v>29</v>
      </c>
      <c r="N81" s="9" t="s">
        <v>31</v>
      </c>
    </row>
    <row r="82" spans="1:14" x14ac:dyDescent="0.3">
      <c r="A82" s="2">
        <v>101</v>
      </c>
      <c r="B82" s="2" t="s">
        <v>2</v>
      </c>
      <c r="C82" s="2">
        <v>120</v>
      </c>
      <c r="D82" s="2">
        <v>150</v>
      </c>
      <c r="E82" s="2" t="s">
        <v>11</v>
      </c>
      <c r="F82" s="2" t="str">
        <f>IF(C82&gt;=D82,"Yes","No")</f>
        <v>No</v>
      </c>
      <c r="G82" s="2" t="str">
        <f>IF(AND(E82="North",C82&gt;200),"Eligible","Not Eligible")</f>
        <v>Not Eligible</v>
      </c>
      <c r="H82" s="5">
        <f>IF(C82&gt;=200,10%,IF(C82&gt;=150,7%,5%))</f>
        <v>0.05</v>
      </c>
      <c r="I82" s="5">
        <f>IF(C82&gt;=D82,10%,5%)</f>
        <v>0.05</v>
      </c>
      <c r="J82" s="2">
        <f>I82*C82</f>
        <v>6</v>
      </c>
      <c r="K82" s="2" t="str">
        <f>IF(C82&gt;=200,"Excellent",IF(C82&gt;=150,"Good","Need Improvement"))</f>
        <v>Need Improvement</v>
      </c>
      <c r="L82" s="2" t="str">
        <f>IF(C82&gt;200,"High",IF(C82&gt;=100,"Medium","Low"))</f>
        <v>Medium</v>
      </c>
      <c r="M82" s="7">
        <f>IF(AND(C82&gt;=150,E82="North"),500,300)</f>
        <v>300</v>
      </c>
      <c r="N82" s="3" t="str">
        <f>IF(C82&gt;=_xlfn.PERCENTILE.INC($C$82:$C$87,0.75),"High Performer","Low Performer")</f>
        <v>Low Performer</v>
      </c>
    </row>
    <row r="83" spans="1:14" x14ac:dyDescent="0.3">
      <c r="A83" s="2">
        <v>102</v>
      </c>
      <c r="B83" s="2" t="s">
        <v>3</v>
      </c>
      <c r="C83" s="2">
        <v>150</v>
      </c>
      <c r="D83" s="2">
        <v>140</v>
      </c>
      <c r="E83" s="2" t="s">
        <v>12</v>
      </c>
      <c r="F83" s="2" t="str">
        <f t="shared" ref="F83:F87" si="32">IF(C83&gt;=D83,"Yes","No")</f>
        <v>Yes</v>
      </c>
      <c r="G83" s="2" t="str">
        <f t="shared" ref="G83:G87" si="33">IF(AND(E83="North",C83&gt;200),"Eligible","Not Eligible")</f>
        <v>Not Eligible</v>
      </c>
      <c r="H83" s="5">
        <f t="shared" ref="H83:H87" si="34">IF(C83&gt;=200,10%,IF(C83&gt;=150,7%,5%))</f>
        <v>7.0000000000000007E-2</v>
      </c>
      <c r="I83" s="5">
        <f t="shared" ref="I83:I87" si="35">IF(C83&gt;=D83,10%,5%)</f>
        <v>0.1</v>
      </c>
      <c r="J83" s="2">
        <f t="shared" ref="J83:J87" si="36">I83*C83</f>
        <v>15</v>
      </c>
      <c r="K83" s="2" t="str">
        <f t="shared" ref="K83:K87" si="37">IF(C83&gt;=200,"Excellent",IF(C83&gt;=150,"Good","Need Improvement"))</f>
        <v>Good</v>
      </c>
      <c r="L83" s="2" t="str">
        <f t="shared" ref="L83:L87" si="38">IF(C83&gt;200,"High",IF(C83&gt;=100,"Medium","Low"))</f>
        <v>Medium</v>
      </c>
      <c r="M83" s="7">
        <f t="shared" ref="M83:M87" si="39">IF(AND(C83&gt;=150,E83="North"),500,300)</f>
        <v>300</v>
      </c>
      <c r="N83" s="3" t="str">
        <f t="shared" ref="N83:N87" si="40">IF(C83&gt;=_xlfn.PERCENTILE.INC($C$82:$C$87,0.75),"High Performer","Low Performer")</f>
        <v>Low Performer</v>
      </c>
    </row>
    <row r="84" spans="1:14" x14ac:dyDescent="0.3">
      <c r="A84" s="2">
        <v>103</v>
      </c>
      <c r="B84" s="2" t="s">
        <v>4</v>
      </c>
      <c r="C84" s="2">
        <v>200</v>
      </c>
      <c r="D84" s="2">
        <v>200</v>
      </c>
      <c r="E84" s="2" t="s">
        <v>13</v>
      </c>
      <c r="F84" s="2" t="str">
        <f t="shared" si="32"/>
        <v>Yes</v>
      </c>
      <c r="G84" s="2" t="str">
        <f t="shared" si="33"/>
        <v>Not Eligible</v>
      </c>
      <c r="H84" s="5">
        <f t="shared" si="34"/>
        <v>0.1</v>
      </c>
      <c r="I84" s="5">
        <f t="shared" si="35"/>
        <v>0.1</v>
      </c>
      <c r="J84" s="2">
        <f t="shared" si="36"/>
        <v>20</v>
      </c>
      <c r="K84" s="2" t="str">
        <f t="shared" si="37"/>
        <v>Excellent</v>
      </c>
      <c r="L84" s="2" t="str">
        <f t="shared" si="38"/>
        <v>Medium</v>
      </c>
      <c r="M84" s="7">
        <f t="shared" si="39"/>
        <v>300</v>
      </c>
      <c r="N84" s="3" t="str">
        <f t="shared" si="40"/>
        <v>High Performer</v>
      </c>
    </row>
    <row r="85" spans="1:14" x14ac:dyDescent="0.3">
      <c r="A85" s="2">
        <v>104</v>
      </c>
      <c r="B85" s="2" t="s">
        <v>5</v>
      </c>
      <c r="C85" s="2">
        <v>90</v>
      </c>
      <c r="D85" s="2">
        <v>100</v>
      </c>
      <c r="E85" s="2" t="s">
        <v>14</v>
      </c>
      <c r="F85" s="2" t="str">
        <f t="shared" si="32"/>
        <v>No</v>
      </c>
      <c r="G85" s="2" t="str">
        <f t="shared" si="33"/>
        <v>Not Eligible</v>
      </c>
      <c r="H85" s="5">
        <f t="shared" si="34"/>
        <v>0.05</v>
      </c>
      <c r="I85" s="5">
        <f t="shared" si="35"/>
        <v>0.05</v>
      </c>
      <c r="J85" s="2">
        <f t="shared" si="36"/>
        <v>4.5</v>
      </c>
      <c r="K85" s="2" t="str">
        <f t="shared" si="37"/>
        <v>Need Improvement</v>
      </c>
      <c r="L85" s="2" t="str">
        <f t="shared" si="38"/>
        <v>Low</v>
      </c>
      <c r="M85" s="7">
        <f t="shared" si="39"/>
        <v>300</v>
      </c>
      <c r="N85" s="3" t="str">
        <f t="shared" si="40"/>
        <v>Low Performer</v>
      </c>
    </row>
    <row r="86" spans="1:14" x14ac:dyDescent="0.3">
      <c r="A86" s="2">
        <v>105</v>
      </c>
      <c r="B86" s="2" t="s">
        <v>6</v>
      </c>
      <c r="C86" s="2">
        <v>220</v>
      </c>
      <c r="D86" s="2">
        <v>210</v>
      </c>
      <c r="E86" s="2" t="s">
        <v>11</v>
      </c>
      <c r="F86" s="2" t="str">
        <f t="shared" si="32"/>
        <v>Yes</v>
      </c>
      <c r="G86" s="2" t="str">
        <f t="shared" si="33"/>
        <v>Eligible</v>
      </c>
      <c r="H86" s="5">
        <f t="shared" si="34"/>
        <v>0.1</v>
      </c>
      <c r="I86" s="5">
        <f t="shared" si="35"/>
        <v>0.1</v>
      </c>
      <c r="J86" s="2">
        <f t="shared" si="36"/>
        <v>22</v>
      </c>
      <c r="K86" s="2" t="str">
        <f t="shared" si="37"/>
        <v>Excellent</v>
      </c>
      <c r="L86" s="2" t="str">
        <f t="shared" si="38"/>
        <v>High</v>
      </c>
      <c r="M86" s="7">
        <f t="shared" si="39"/>
        <v>500</v>
      </c>
      <c r="N86" s="3" t="str">
        <f t="shared" si="40"/>
        <v>High Performer</v>
      </c>
    </row>
    <row r="87" spans="1:14" x14ac:dyDescent="0.3">
      <c r="A87" s="2">
        <v>106</v>
      </c>
      <c r="B87" s="2" t="s">
        <v>7</v>
      </c>
      <c r="C87" s="2">
        <v>130</v>
      </c>
      <c r="D87" s="2">
        <v>160</v>
      </c>
      <c r="E87" s="2" t="s">
        <v>12</v>
      </c>
      <c r="F87" s="2" t="str">
        <f t="shared" si="32"/>
        <v>No</v>
      </c>
      <c r="G87" s="2" t="str">
        <f t="shared" si="33"/>
        <v>Not Eligible</v>
      </c>
      <c r="H87" s="5">
        <f t="shared" si="34"/>
        <v>0.05</v>
      </c>
      <c r="I87" s="5">
        <f t="shared" si="35"/>
        <v>0.05</v>
      </c>
      <c r="J87" s="2">
        <f t="shared" si="36"/>
        <v>6.5</v>
      </c>
      <c r="K87" s="2" t="str">
        <f t="shared" si="37"/>
        <v>Need Improvement</v>
      </c>
      <c r="L87" s="2" t="str">
        <f t="shared" si="38"/>
        <v>Medium</v>
      </c>
      <c r="M87" s="7">
        <f t="shared" si="39"/>
        <v>300</v>
      </c>
      <c r="N87" s="3" t="str">
        <f t="shared" si="40"/>
        <v>Low Performer</v>
      </c>
    </row>
  </sheetData>
  <mergeCells count="3">
    <mergeCell ref="K5:M5"/>
    <mergeCell ref="K4:M4"/>
    <mergeCell ref="A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Assignment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Annwesha Kundu</dc:creator>
  <cp:lastModifiedBy>Annwesha Kundu</cp:lastModifiedBy>
  <dcterms:created xsi:type="dcterms:W3CDTF">2026-02-24T06:06:37Z</dcterms:created>
  <dcterms:modified xsi:type="dcterms:W3CDTF">2026-02-25T11:00:39Z</dcterms:modified>
</cp:coreProperties>
</file>