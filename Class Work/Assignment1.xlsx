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D066A8-FAC3-4E4D-96E0-8F7937BF5462}" xr6:coauthVersionLast="47" xr6:coauthVersionMax="47" xr10:uidLastSave="{00000000-0000-0000-0000-000000000000}"/>
  <bookViews>
    <workbookView xWindow="-108" yWindow="-108" windowWidth="23256" windowHeight="12456" xr2:uid="{7C66AA12-17D7-4C18-9571-79084A8F6F55}"/>
  </bookViews>
  <sheets>
    <sheet name="Class Task" sheetId="1" r:id="rId1"/>
    <sheet name="Sort 1" sheetId="2" r:id="rId2"/>
    <sheet name="Filter 2" sheetId="3" r:id="rId3"/>
    <sheet name="Filter 3" sheetId="4" r:id="rId4"/>
    <sheet name="Q4 - Q16" sheetId="6" r:id="rId5"/>
  </sheets>
  <definedNames>
    <definedName name="_xlnm._FilterDatabase" localSheetId="2" hidden="1">'Filter 2'!$A$15:$I$25</definedName>
    <definedName name="_xlnm._FilterDatabase" localSheetId="3" hidden="1">'Filter 3'!$A$15:$I$25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8" i="6" l="1"/>
  <c r="M143" i="6"/>
  <c r="M130" i="6"/>
  <c r="L116" i="6"/>
  <c r="L102" i="6"/>
  <c r="K87" i="6"/>
  <c r="K73" i="6"/>
  <c r="K60" i="6"/>
  <c r="K46" i="6"/>
  <c r="K32" i="6"/>
  <c r="K16" i="6"/>
</calcChain>
</file>

<file path=xl/sharedStrings.xml><?xml version="1.0" encoding="utf-8"?>
<sst xmlns="http://schemas.openxmlformats.org/spreadsheetml/2006/main" count="1088" uniqueCount="51">
  <si>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</si>
  <si>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</si>
  <si>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</si>
  <si>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</si>
  <si>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</si>
  <si>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</si>
  <si>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</si>
  <si>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</si>
  <si>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</si>
  <si>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</si>
  <si>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</si>
  <si>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</si>
  <si>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</si>
  <si>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</si>
  <si>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</si>
  <si>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</si>
  <si>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</si>
  <si>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</si>
  <si>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</si>
  <si>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</si>
  <si>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</si>
  <si>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</si>
  <si>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</si>
  <si>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</si>
  <si>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</si>
  <si>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</si>
  <si>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</si>
  <si>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</si>
  <si>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</si>
  <si>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</si>
  <si>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</si>
  <si>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</si>
  <si>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</si>
  <si>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</si>
  <si>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</si>
  <si>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</si>
  <si>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</si>
  <si>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</si>
  <si>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</si>
  <si>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</si>
  <si>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</si>
  <si>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</si>
  <si>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 Sales of all Orders</t>
  </si>
  <si>
    <t>Total quantity sold</t>
  </si>
  <si>
    <t>Average Total Sales</t>
  </si>
  <si>
    <t>Average Quantity Per Order</t>
  </si>
  <si>
    <t>Total Number of Orders</t>
  </si>
  <si>
    <t>Number of Furniture Orders</t>
  </si>
  <si>
    <t>category</t>
  </si>
  <si>
    <t>Total Sales</t>
  </si>
  <si>
    <t>Count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</si>
</sst>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L21"/>
  <sheetViews>
    <sheetView tabSelected="1" workbookViewId="0">
      <selection activeCell="I26" sqref="I26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6.77734375" bestFit="1" customWidth="1"/>
    <col min="4" max="4" width="11" bestFit="1" customWidth="1"/>
    <col min="5" max="5" width="7.6640625" bestFit="1" customWidth="1"/>
    <col min="6" max="6" width="9.88671875" bestFit="1" customWidth="1"/>
    <col min="7" max="7" width="8.33203125" bestFit="1" customWidth="1"/>
    <col min="8" max="8" width="9.6640625" bestFit="1" customWidth="1"/>
    <col min="9" max="9" width="1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t="s">
        <v>24</v>
      </c>
    </row>
    <row r="3" spans="1:1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t="s">
        <v>25</v>
      </c>
    </row>
    <row r="4" spans="1:1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t="s">
        <v>26</v>
      </c>
    </row>
    <row r="5" spans="1:1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t="s">
        <v>27</v>
      </c>
    </row>
    <row r="6" spans="1:11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K6" t="s">
        <v>28</v>
      </c>
    </row>
    <row r="7" spans="1:1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t="s">
        <v>29</v>
      </c>
    </row>
    <row r="8" spans="1:1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  <c r="K8" t="s">
        <v>30</v>
      </c>
    </row>
    <row r="9" spans="1:1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  <c r="K9" t="s">
        <v>31</v>
      </c>
    </row>
    <row r="10" spans="1:11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  <c r="K10" t="s">
        <v>32</v>
      </c>
    </row>
    <row r="11" spans="1:1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  <c r="K11" t="s">
        <v>33</v>
      </c>
    </row>
    <row r="12" spans="1:11" x14ac:dyDescent="0.3">
      <c r="K12" t="s">
        <v>34</v>
      </c>
    </row>
    <row r="13" spans="1:11" x14ac:dyDescent="0.3">
      <c r="K13" t="s">
        <v>35</v>
      </c>
    </row>
    <row r="14" spans="1:11" x14ac:dyDescent="0.3">
      <c r="K14" t="s">
        <v>36</v>
      </c>
    </row>
    <row r="15" spans="1:11" x14ac:dyDescent="0.3">
      <c r="K15" t="s">
        <v>37</v>
      </c>
    </row>
    <row r="16" spans="1:11" x14ac:dyDescent="0.3">
      <c r="K16" t="s">
        <v>38</v>
      </c>
    </row>
    <row r="17" spans="11:12" x14ac:dyDescent="0.3">
      <c r="K17" t="s">
        <v>39</v>
      </c>
    </row>
    <row r="18" spans="11:12" x14ac:dyDescent="0.3">
      <c r="K18" s="4"/>
      <c r="L18" s="4" t="s">
        <v>40</v>
      </c>
    </row>
    <row r="19" spans="11:12" x14ac:dyDescent="0.3">
      <c r="K19" s="4"/>
      <c r="L19" s="4" t="s">
        <v>41</v>
      </c>
    </row>
    <row r="20" spans="11:12" x14ac:dyDescent="0.3">
      <c r="K20" s="4"/>
    </row>
    <row r="21" spans="11:12" x14ac:dyDescent="0.3">
      <c r="K2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0DED-C558-409C-A19C-8E2DB255E5BF}">
  <dimension ref="A1:I25"/>
  <sheetViews>
    <sheetView workbookViewId="0">
      <selection activeCell="N12" sqref="N12"/>
    </sheetView>
  </sheetViews>
  <sheetFormatPr defaultRowHeight="14.4" x14ac:dyDescent="0.3"/>
  <cols>
    <col min="1" max="1" width="8.5546875" bestFit="1" customWidth="1"/>
    <col min="2" max="2" width="9.5546875" bestFit="1" customWidth="1"/>
    <col min="3" max="3" width="6.77734375" bestFit="1" customWidth="1"/>
    <col min="4" max="4" width="11.33203125" customWidth="1"/>
    <col min="5" max="5" width="7.6640625" bestFit="1" customWidth="1"/>
    <col min="6" max="6" width="13.33203125" customWidth="1"/>
    <col min="7" max="7" width="8.33203125" bestFit="1" customWidth="1"/>
    <col min="8" max="8" width="11.44140625" customWidth="1"/>
    <col min="9" max="9" width="12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2" customHeight="1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ht="14.4" customHeight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ht="18" customHeight="1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ht="14.4" customHeight="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ht="16.8" customHeight="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">
      <c r="A13" t="s">
        <v>24</v>
      </c>
    </row>
    <row r="15" spans="1:9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spans="1:9" x14ac:dyDescent="0.3">
      <c r="A16" s="2">
        <v>1008</v>
      </c>
      <c r="B16" s="3">
        <v>45319</v>
      </c>
      <c r="C16" s="2" t="s">
        <v>20</v>
      </c>
      <c r="D16" s="2" t="s">
        <v>21</v>
      </c>
      <c r="E16" s="2" t="s">
        <v>15</v>
      </c>
      <c r="F16" s="2" t="s">
        <v>12</v>
      </c>
      <c r="G16" s="2">
        <v>6</v>
      </c>
      <c r="H16" s="2">
        <v>20000</v>
      </c>
      <c r="I16" s="2">
        <v>120000</v>
      </c>
    </row>
    <row r="17" spans="1:9" x14ac:dyDescent="0.3">
      <c r="A17" s="2">
        <v>1001</v>
      </c>
      <c r="B17" s="3">
        <v>45296</v>
      </c>
      <c r="C17" s="2" t="s">
        <v>9</v>
      </c>
      <c r="D17" s="2" t="s">
        <v>10</v>
      </c>
      <c r="E17" s="2" t="s">
        <v>11</v>
      </c>
      <c r="F17" s="2" t="s">
        <v>12</v>
      </c>
      <c r="G17" s="2">
        <v>2</v>
      </c>
      <c r="H17" s="2">
        <v>50000</v>
      </c>
      <c r="I17" s="2">
        <v>100000</v>
      </c>
    </row>
    <row r="18" spans="1:9" x14ac:dyDescent="0.3">
      <c r="A18" s="2">
        <v>1002</v>
      </c>
      <c r="B18" s="3">
        <v>45299</v>
      </c>
      <c r="C18" s="2" t="s">
        <v>13</v>
      </c>
      <c r="D18" s="2" t="s">
        <v>14</v>
      </c>
      <c r="E18" s="2" t="s">
        <v>15</v>
      </c>
      <c r="F18" s="2" t="s">
        <v>12</v>
      </c>
      <c r="G18" s="2">
        <v>5</v>
      </c>
      <c r="H18" s="2">
        <v>20000</v>
      </c>
      <c r="I18" s="2">
        <v>100000</v>
      </c>
    </row>
    <row r="19" spans="1:9" x14ac:dyDescent="0.3">
      <c r="A19" s="2">
        <v>1005</v>
      </c>
      <c r="B19" s="3">
        <v>45309</v>
      </c>
      <c r="C19" s="2" t="s">
        <v>9</v>
      </c>
      <c r="D19" s="2" t="s">
        <v>10</v>
      </c>
      <c r="E19" s="2" t="s">
        <v>15</v>
      </c>
      <c r="F19" s="2" t="s">
        <v>12</v>
      </c>
      <c r="G19" s="2">
        <v>4</v>
      </c>
      <c r="H19" s="2">
        <v>20000</v>
      </c>
      <c r="I19" s="2">
        <v>80000</v>
      </c>
    </row>
    <row r="20" spans="1:9" x14ac:dyDescent="0.3">
      <c r="A20" s="2">
        <v>1006</v>
      </c>
      <c r="B20" s="3">
        <v>45311</v>
      </c>
      <c r="C20" s="2" t="s">
        <v>13</v>
      </c>
      <c r="D20" s="2" t="s">
        <v>14</v>
      </c>
      <c r="E20" s="2" t="s">
        <v>11</v>
      </c>
      <c r="F20" s="2" t="s">
        <v>12</v>
      </c>
      <c r="G20" s="2">
        <v>1</v>
      </c>
      <c r="H20" s="2">
        <v>50000</v>
      </c>
      <c r="I20" s="2">
        <v>50000</v>
      </c>
    </row>
    <row r="21" spans="1:9" x14ac:dyDescent="0.3">
      <c r="A21" s="2">
        <v>1009</v>
      </c>
      <c r="B21" s="3">
        <v>45324</v>
      </c>
      <c r="C21" s="2" t="s">
        <v>9</v>
      </c>
      <c r="D21" s="2" t="s">
        <v>10</v>
      </c>
      <c r="E21" s="2" t="s">
        <v>22</v>
      </c>
      <c r="F21" s="2" t="s">
        <v>19</v>
      </c>
      <c r="G21" s="2">
        <v>5</v>
      </c>
      <c r="H21" s="2">
        <v>7000</v>
      </c>
      <c r="I21" s="2">
        <v>35000</v>
      </c>
    </row>
    <row r="22" spans="1:9" x14ac:dyDescent="0.3">
      <c r="A22" s="2">
        <v>1003</v>
      </c>
      <c r="B22" s="3">
        <v>45303</v>
      </c>
      <c r="C22" s="2" t="s">
        <v>16</v>
      </c>
      <c r="D22" s="2" t="s">
        <v>17</v>
      </c>
      <c r="E22" s="2" t="s">
        <v>18</v>
      </c>
      <c r="F22" s="2" t="s">
        <v>19</v>
      </c>
      <c r="G22" s="2">
        <v>10</v>
      </c>
      <c r="H22" s="2">
        <v>3000</v>
      </c>
      <c r="I22" s="2">
        <v>30000</v>
      </c>
    </row>
    <row r="23" spans="1:9" x14ac:dyDescent="0.3">
      <c r="A23" s="2">
        <v>1004</v>
      </c>
      <c r="B23" s="3">
        <v>45306</v>
      </c>
      <c r="C23" s="2" t="s">
        <v>20</v>
      </c>
      <c r="D23" s="2" t="s">
        <v>21</v>
      </c>
      <c r="E23" s="2" t="s">
        <v>22</v>
      </c>
      <c r="F23" s="2" t="s">
        <v>19</v>
      </c>
      <c r="G23" s="2">
        <v>3</v>
      </c>
      <c r="H23" s="2">
        <v>7000</v>
      </c>
      <c r="I23" s="2">
        <v>21000</v>
      </c>
    </row>
    <row r="24" spans="1:9" x14ac:dyDescent="0.3">
      <c r="A24" s="2">
        <v>1010</v>
      </c>
      <c r="B24" s="3">
        <v>45327</v>
      </c>
      <c r="C24" s="2" t="s">
        <v>13</v>
      </c>
      <c r="D24" s="2" t="s">
        <v>14</v>
      </c>
      <c r="E24" s="2" t="s">
        <v>18</v>
      </c>
      <c r="F24" s="2" t="s">
        <v>19</v>
      </c>
      <c r="G24" s="2">
        <v>7</v>
      </c>
      <c r="H24" s="2">
        <v>3000</v>
      </c>
      <c r="I24" s="2">
        <v>21000</v>
      </c>
    </row>
    <row r="25" spans="1:9" x14ac:dyDescent="0.3">
      <c r="A25" s="2">
        <v>1007</v>
      </c>
      <c r="B25" s="3">
        <v>45316</v>
      </c>
      <c r="C25" s="2" t="s">
        <v>16</v>
      </c>
      <c r="D25" s="2" t="s">
        <v>17</v>
      </c>
      <c r="E25" s="2" t="s">
        <v>23</v>
      </c>
      <c r="F25" s="2" t="s">
        <v>19</v>
      </c>
      <c r="G25" s="2">
        <v>2</v>
      </c>
      <c r="H25" s="2">
        <v>10000</v>
      </c>
      <c r="I25" s="2">
        <v>20000</v>
      </c>
    </row>
  </sheetData>
  <sortState xmlns:xlrd2="http://schemas.microsoft.com/office/spreadsheetml/2017/richdata2" ref="A16:I25">
    <sortCondition descending="1" ref="I18:I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9614-38AA-45F6-BCF2-ECE97DA0384A}">
  <sheetPr filterMode="1"/>
  <dimension ref="A1:I25"/>
  <sheetViews>
    <sheetView workbookViewId="0">
      <selection activeCell="F27" sqref="F27:F28"/>
    </sheetView>
  </sheetViews>
  <sheetFormatPr defaultRowHeight="14.4" x14ac:dyDescent="0.3"/>
  <cols>
    <col min="1" max="1" width="8.5546875" bestFit="1" customWidth="1"/>
    <col min="2" max="2" width="9.5546875" bestFit="1" customWidth="1"/>
    <col min="3" max="3" width="6.77734375" bestFit="1" customWidth="1"/>
    <col min="4" max="4" width="12.33203125" customWidth="1"/>
    <col min="5" max="5" width="7.6640625" bestFit="1" customWidth="1"/>
    <col min="6" max="6" width="15.88671875" customWidth="1"/>
    <col min="7" max="7" width="8.33203125" bestFit="1" customWidth="1"/>
    <col min="8" max="8" width="11.6640625" customWidth="1"/>
    <col min="9" max="9" width="1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">
      <c r="A13" t="s">
        <v>25</v>
      </c>
    </row>
    <row r="15" spans="1:9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spans="1:9" x14ac:dyDescent="0.3">
      <c r="A16" s="2">
        <v>1001</v>
      </c>
      <c r="B16" s="3">
        <v>45296</v>
      </c>
      <c r="C16" s="2" t="s">
        <v>9</v>
      </c>
      <c r="D16" s="2" t="s">
        <v>10</v>
      </c>
      <c r="E16" s="2" t="s">
        <v>11</v>
      </c>
      <c r="F16" s="2" t="s">
        <v>12</v>
      </c>
      <c r="G16" s="2">
        <v>2</v>
      </c>
      <c r="H16" s="2">
        <v>50000</v>
      </c>
      <c r="I16" s="2">
        <v>100000</v>
      </c>
    </row>
    <row r="17" spans="1:9" x14ac:dyDescent="0.3">
      <c r="A17" s="2">
        <v>1002</v>
      </c>
      <c r="B17" s="3">
        <v>45299</v>
      </c>
      <c r="C17" s="2" t="s">
        <v>13</v>
      </c>
      <c r="D17" s="2" t="s">
        <v>14</v>
      </c>
      <c r="E17" s="2" t="s">
        <v>15</v>
      </c>
      <c r="F17" s="2" t="s">
        <v>12</v>
      </c>
      <c r="G17" s="2">
        <v>5</v>
      </c>
      <c r="H17" s="2">
        <v>20000</v>
      </c>
      <c r="I17" s="2">
        <v>100000</v>
      </c>
    </row>
    <row r="18" spans="1:9" hidden="1" x14ac:dyDescent="0.3">
      <c r="A18" s="2">
        <v>1003</v>
      </c>
      <c r="B18" s="3">
        <v>45303</v>
      </c>
      <c r="C18" s="2" t="s">
        <v>16</v>
      </c>
      <c r="D18" s="2" t="s">
        <v>17</v>
      </c>
      <c r="E18" s="2" t="s">
        <v>18</v>
      </c>
      <c r="F18" s="2" t="s">
        <v>19</v>
      </c>
      <c r="G18" s="2">
        <v>10</v>
      </c>
      <c r="H18" s="2">
        <v>3000</v>
      </c>
      <c r="I18" s="2">
        <v>30000</v>
      </c>
    </row>
    <row r="19" spans="1:9" hidden="1" x14ac:dyDescent="0.3">
      <c r="A19" s="2">
        <v>1004</v>
      </c>
      <c r="B19" s="3">
        <v>45306</v>
      </c>
      <c r="C19" s="2" t="s">
        <v>20</v>
      </c>
      <c r="D19" s="2" t="s">
        <v>21</v>
      </c>
      <c r="E19" s="2" t="s">
        <v>22</v>
      </c>
      <c r="F19" s="2" t="s">
        <v>19</v>
      </c>
      <c r="G19" s="2">
        <v>3</v>
      </c>
      <c r="H19" s="2">
        <v>7000</v>
      </c>
      <c r="I19" s="2">
        <v>21000</v>
      </c>
    </row>
    <row r="20" spans="1:9" x14ac:dyDescent="0.3">
      <c r="A20" s="2">
        <v>1005</v>
      </c>
      <c r="B20" s="3">
        <v>45309</v>
      </c>
      <c r="C20" s="2" t="s">
        <v>9</v>
      </c>
      <c r="D20" s="2" t="s">
        <v>10</v>
      </c>
      <c r="E20" s="2" t="s">
        <v>15</v>
      </c>
      <c r="F20" s="2" t="s">
        <v>12</v>
      </c>
      <c r="G20" s="2">
        <v>4</v>
      </c>
      <c r="H20" s="2">
        <v>20000</v>
      </c>
      <c r="I20" s="2">
        <v>80000</v>
      </c>
    </row>
    <row r="21" spans="1:9" x14ac:dyDescent="0.3">
      <c r="A21" s="2">
        <v>1006</v>
      </c>
      <c r="B21" s="3">
        <v>45311</v>
      </c>
      <c r="C21" s="2" t="s">
        <v>13</v>
      </c>
      <c r="D21" s="2" t="s">
        <v>14</v>
      </c>
      <c r="E21" s="2" t="s">
        <v>11</v>
      </c>
      <c r="F21" s="2" t="s">
        <v>12</v>
      </c>
      <c r="G21" s="2">
        <v>1</v>
      </c>
      <c r="H21" s="2">
        <v>50000</v>
      </c>
      <c r="I21" s="2">
        <v>50000</v>
      </c>
    </row>
    <row r="22" spans="1:9" hidden="1" x14ac:dyDescent="0.3">
      <c r="A22" s="2">
        <v>1007</v>
      </c>
      <c r="B22" s="3">
        <v>45316</v>
      </c>
      <c r="C22" s="2" t="s">
        <v>16</v>
      </c>
      <c r="D22" s="2" t="s">
        <v>17</v>
      </c>
      <c r="E22" s="2" t="s">
        <v>23</v>
      </c>
      <c r="F22" s="2" t="s">
        <v>19</v>
      </c>
      <c r="G22" s="2">
        <v>2</v>
      </c>
      <c r="H22" s="2">
        <v>10000</v>
      </c>
      <c r="I22" s="2">
        <v>20000</v>
      </c>
    </row>
    <row r="23" spans="1:9" x14ac:dyDescent="0.3">
      <c r="A23" s="2">
        <v>1008</v>
      </c>
      <c r="B23" s="3">
        <v>45319</v>
      </c>
      <c r="C23" s="2" t="s">
        <v>20</v>
      </c>
      <c r="D23" s="2" t="s">
        <v>21</v>
      </c>
      <c r="E23" s="2" t="s">
        <v>15</v>
      </c>
      <c r="F23" s="2" t="s">
        <v>12</v>
      </c>
      <c r="G23" s="2">
        <v>6</v>
      </c>
      <c r="H23" s="2">
        <v>20000</v>
      </c>
      <c r="I23" s="2">
        <v>120000</v>
      </c>
    </row>
    <row r="24" spans="1:9" hidden="1" x14ac:dyDescent="0.3">
      <c r="A24" s="2">
        <v>1009</v>
      </c>
      <c r="B24" s="3">
        <v>45324</v>
      </c>
      <c r="C24" s="2" t="s">
        <v>9</v>
      </c>
      <c r="D24" s="2" t="s">
        <v>10</v>
      </c>
      <c r="E24" s="2" t="s">
        <v>22</v>
      </c>
      <c r="F24" s="2" t="s">
        <v>19</v>
      </c>
      <c r="G24" s="2">
        <v>5</v>
      </c>
      <c r="H24" s="2">
        <v>7000</v>
      </c>
      <c r="I24" s="2">
        <v>35000</v>
      </c>
    </row>
    <row r="25" spans="1:9" hidden="1" x14ac:dyDescent="0.3">
      <c r="A25" s="2">
        <v>1010</v>
      </c>
      <c r="B25" s="3">
        <v>45327</v>
      </c>
      <c r="C25" s="2" t="s">
        <v>13</v>
      </c>
      <c r="D25" s="2" t="s">
        <v>14</v>
      </c>
      <c r="E25" s="2" t="s">
        <v>18</v>
      </c>
      <c r="F25" s="2" t="s">
        <v>19</v>
      </c>
      <c r="G25" s="2">
        <v>7</v>
      </c>
      <c r="H25" s="2">
        <v>3000</v>
      </c>
      <c r="I25" s="2">
        <v>21000</v>
      </c>
    </row>
  </sheetData>
  <autoFilter ref="A15:I25" xr:uid="{D0349614-38AA-45F6-BCF2-ECE97DA0384A}">
    <filterColumn colId="5">
      <filters>
        <filter val="Electronic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F07D-F8C0-41C1-8C79-3E3D185ABF10}">
  <sheetPr filterMode="1"/>
  <dimension ref="A1:I25"/>
  <sheetViews>
    <sheetView workbookViewId="0">
      <selection activeCell="O12" sqref="O12"/>
    </sheetView>
  </sheetViews>
  <sheetFormatPr defaultRowHeight="14.4" x14ac:dyDescent="0.3"/>
  <cols>
    <col min="2" max="2" width="11.44140625" customWidth="1"/>
    <col min="4" max="4" width="13.5546875" customWidth="1"/>
    <col min="6" max="6" width="12.21875" customWidth="1"/>
    <col min="7" max="7" width="9.109375" customWidth="1"/>
    <col min="8" max="8" width="11.88671875" customWidth="1"/>
    <col min="9" max="9" width="1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">
      <c r="A13" t="s">
        <v>26</v>
      </c>
    </row>
    <row r="15" spans="1:9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spans="1:9" x14ac:dyDescent="0.3">
      <c r="A16" s="2">
        <v>1001</v>
      </c>
      <c r="B16" s="3">
        <v>45296</v>
      </c>
      <c r="C16" s="2" t="s">
        <v>9</v>
      </c>
      <c r="D16" s="2" t="s">
        <v>10</v>
      </c>
      <c r="E16" s="2" t="s">
        <v>11</v>
      </c>
      <c r="F16" s="2" t="s">
        <v>12</v>
      </c>
      <c r="G16" s="2">
        <v>2</v>
      </c>
      <c r="H16" s="2">
        <v>50000</v>
      </c>
      <c r="I16" s="2">
        <v>100000</v>
      </c>
    </row>
    <row r="17" spans="1:9" ht="18" hidden="1" customHeight="1" x14ac:dyDescent="0.3">
      <c r="A17" s="2">
        <v>1002</v>
      </c>
      <c r="B17" s="3">
        <v>45299</v>
      </c>
      <c r="C17" s="2" t="s">
        <v>13</v>
      </c>
      <c r="D17" s="2" t="s">
        <v>14</v>
      </c>
      <c r="E17" s="2" t="s">
        <v>15</v>
      </c>
      <c r="F17" s="2" t="s">
        <v>12</v>
      </c>
      <c r="G17" s="2">
        <v>5</v>
      </c>
      <c r="H17" s="2">
        <v>20000</v>
      </c>
      <c r="I17" s="2">
        <v>100000</v>
      </c>
    </row>
    <row r="18" spans="1:9" hidden="1" x14ac:dyDescent="0.3">
      <c r="A18" s="2">
        <v>1003</v>
      </c>
      <c r="B18" s="3">
        <v>45303</v>
      </c>
      <c r="C18" s="2" t="s">
        <v>16</v>
      </c>
      <c r="D18" s="2" t="s">
        <v>17</v>
      </c>
      <c r="E18" s="2" t="s">
        <v>18</v>
      </c>
      <c r="F18" s="2" t="s">
        <v>19</v>
      </c>
      <c r="G18" s="2">
        <v>10</v>
      </c>
      <c r="H18" s="2">
        <v>3000</v>
      </c>
      <c r="I18" s="2">
        <v>30000</v>
      </c>
    </row>
    <row r="19" spans="1:9" hidden="1" x14ac:dyDescent="0.3">
      <c r="A19" s="2">
        <v>1004</v>
      </c>
      <c r="B19" s="3">
        <v>45306</v>
      </c>
      <c r="C19" s="2" t="s">
        <v>20</v>
      </c>
      <c r="D19" s="2" t="s">
        <v>21</v>
      </c>
      <c r="E19" s="2" t="s">
        <v>22</v>
      </c>
      <c r="F19" s="2" t="s">
        <v>19</v>
      </c>
      <c r="G19" s="2">
        <v>3</v>
      </c>
      <c r="H19" s="2">
        <v>7000</v>
      </c>
      <c r="I19" s="2">
        <v>21000</v>
      </c>
    </row>
    <row r="20" spans="1:9" x14ac:dyDescent="0.3">
      <c r="A20" s="2">
        <v>1005</v>
      </c>
      <c r="B20" s="3">
        <v>45309</v>
      </c>
      <c r="C20" s="2" t="s">
        <v>9</v>
      </c>
      <c r="D20" s="2" t="s">
        <v>10</v>
      </c>
      <c r="E20" s="2" t="s">
        <v>15</v>
      </c>
      <c r="F20" s="2" t="s">
        <v>12</v>
      </c>
      <c r="G20" s="2">
        <v>4</v>
      </c>
      <c r="H20" s="2">
        <v>20000</v>
      </c>
      <c r="I20" s="2">
        <v>80000</v>
      </c>
    </row>
    <row r="21" spans="1:9" ht="19.8" hidden="1" customHeight="1" x14ac:dyDescent="0.3">
      <c r="A21" s="2">
        <v>1006</v>
      </c>
      <c r="B21" s="3">
        <v>45311</v>
      </c>
      <c r="C21" s="2" t="s">
        <v>13</v>
      </c>
      <c r="D21" s="2" t="s">
        <v>14</v>
      </c>
      <c r="E21" s="2" t="s">
        <v>11</v>
      </c>
      <c r="F21" s="2" t="s">
        <v>12</v>
      </c>
      <c r="G21" s="2">
        <v>1</v>
      </c>
      <c r="H21" s="2">
        <v>50000</v>
      </c>
      <c r="I21" s="2">
        <v>50000</v>
      </c>
    </row>
    <row r="22" spans="1:9" hidden="1" x14ac:dyDescent="0.3">
      <c r="A22" s="2">
        <v>1007</v>
      </c>
      <c r="B22" s="3">
        <v>45316</v>
      </c>
      <c r="C22" s="2" t="s">
        <v>16</v>
      </c>
      <c r="D22" s="2" t="s">
        <v>17</v>
      </c>
      <c r="E22" s="2" t="s">
        <v>23</v>
      </c>
      <c r="F22" s="2" t="s">
        <v>19</v>
      </c>
      <c r="G22" s="2">
        <v>2</v>
      </c>
      <c r="H22" s="2">
        <v>10000</v>
      </c>
      <c r="I22" s="2">
        <v>20000</v>
      </c>
    </row>
    <row r="23" spans="1:9" ht="22.2" hidden="1" customHeight="1" x14ac:dyDescent="0.3">
      <c r="A23" s="2">
        <v>1008</v>
      </c>
      <c r="B23" s="3">
        <v>45319</v>
      </c>
      <c r="C23" s="2" t="s">
        <v>20</v>
      </c>
      <c r="D23" s="2" t="s">
        <v>21</v>
      </c>
      <c r="E23" s="2" t="s">
        <v>15</v>
      </c>
      <c r="F23" s="2" t="s">
        <v>12</v>
      </c>
      <c r="G23" s="2">
        <v>6</v>
      </c>
      <c r="H23" s="2">
        <v>20000</v>
      </c>
      <c r="I23" s="2">
        <v>120000</v>
      </c>
    </row>
    <row r="24" spans="1:9" x14ac:dyDescent="0.3">
      <c r="A24" s="2">
        <v>1009</v>
      </c>
      <c r="B24" s="3">
        <v>45324</v>
      </c>
      <c r="C24" s="2" t="s">
        <v>9</v>
      </c>
      <c r="D24" s="2" t="s">
        <v>10</v>
      </c>
      <c r="E24" s="2" t="s">
        <v>22</v>
      </c>
      <c r="F24" s="2" t="s">
        <v>19</v>
      </c>
      <c r="G24" s="2">
        <v>5</v>
      </c>
      <c r="H24" s="2">
        <v>7000</v>
      </c>
      <c r="I24" s="2">
        <v>35000</v>
      </c>
    </row>
    <row r="25" spans="1:9" hidden="1" x14ac:dyDescent="0.3">
      <c r="A25" s="2">
        <v>1010</v>
      </c>
      <c r="B25" s="3">
        <v>45327</v>
      </c>
      <c r="C25" s="2" t="s">
        <v>13</v>
      </c>
      <c r="D25" s="2" t="s">
        <v>14</v>
      </c>
      <c r="E25" s="2" t="s">
        <v>18</v>
      </c>
      <c r="F25" s="2" t="s">
        <v>19</v>
      </c>
      <c r="G25" s="2">
        <v>7</v>
      </c>
      <c r="H25" s="2">
        <v>3000</v>
      </c>
      <c r="I25" s="2">
        <v>21000</v>
      </c>
    </row>
  </sheetData>
  <autoFilter ref="A15:I25" xr:uid="{45CDF07D-F8C0-41C1-8C79-3E3D185ABF10}">
    <filterColumn colId="3">
      <filters>
        <filter val="Ami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473F-4ABD-40A8-97B7-5CA6E3FB9DE4}">
  <dimension ref="A1:M196"/>
  <sheetViews>
    <sheetView zoomScale="89" zoomScaleNormal="89" workbookViewId="0">
      <selection activeCell="J203" sqref="J203"/>
    </sheetView>
  </sheetViews>
  <sheetFormatPr defaultRowHeight="14.4" x14ac:dyDescent="0.3"/>
  <cols>
    <col min="2" max="2" width="11.6640625" customWidth="1"/>
    <col min="4" max="4" width="11.109375" customWidth="1"/>
    <col min="6" max="6" width="10.21875" customWidth="1"/>
    <col min="8" max="8" width="15.77734375" customWidth="1"/>
    <col min="9" max="9" width="13.109375" customWidth="1"/>
    <col min="10" max="10" width="15.109375" customWidth="1"/>
    <col min="11" max="11" width="27.77734375" customWidth="1"/>
    <col min="12" max="12" width="13.21875" customWidth="1"/>
    <col min="13" max="13" width="12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1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1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1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11" x14ac:dyDescent="0.3">
      <c r="A13" s="9" t="s">
        <v>27</v>
      </c>
      <c r="B13" s="9"/>
      <c r="C13" s="9"/>
    </row>
    <row r="15" spans="1:11" ht="28.8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K15" s="5" t="s">
        <v>42</v>
      </c>
    </row>
    <row r="16" spans="1:11" x14ac:dyDescent="0.3">
      <c r="A16" s="2">
        <v>1001</v>
      </c>
      <c r="B16" s="3">
        <v>45296</v>
      </c>
      <c r="C16" s="2" t="s">
        <v>9</v>
      </c>
      <c r="D16" s="2" t="s">
        <v>10</v>
      </c>
      <c r="E16" s="2" t="s">
        <v>11</v>
      </c>
      <c r="F16" s="2" t="s">
        <v>12</v>
      </c>
      <c r="G16" s="2">
        <v>2</v>
      </c>
      <c r="H16" s="2">
        <v>50000</v>
      </c>
      <c r="I16" s="2">
        <v>100000</v>
      </c>
      <c r="K16" s="10">
        <f>SUM(I16:I25)</f>
        <v>577000</v>
      </c>
    </row>
    <row r="17" spans="1:11" x14ac:dyDescent="0.3">
      <c r="A17" s="2">
        <v>1002</v>
      </c>
      <c r="B17" s="3">
        <v>45299</v>
      </c>
      <c r="C17" s="2" t="s">
        <v>13</v>
      </c>
      <c r="D17" s="2" t="s">
        <v>14</v>
      </c>
      <c r="E17" s="2" t="s">
        <v>15</v>
      </c>
      <c r="F17" s="2" t="s">
        <v>12</v>
      </c>
      <c r="G17" s="2">
        <v>5</v>
      </c>
      <c r="H17" s="2">
        <v>20000</v>
      </c>
      <c r="I17" s="2">
        <v>100000</v>
      </c>
    </row>
    <row r="18" spans="1:11" x14ac:dyDescent="0.3">
      <c r="A18" s="2">
        <v>1003</v>
      </c>
      <c r="B18" s="3">
        <v>45303</v>
      </c>
      <c r="C18" s="2" t="s">
        <v>16</v>
      </c>
      <c r="D18" s="2" t="s">
        <v>17</v>
      </c>
      <c r="E18" s="2" t="s">
        <v>18</v>
      </c>
      <c r="F18" s="2" t="s">
        <v>19</v>
      </c>
      <c r="G18" s="2">
        <v>10</v>
      </c>
      <c r="H18" s="2">
        <v>3000</v>
      </c>
      <c r="I18" s="2">
        <v>30000</v>
      </c>
    </row>
    <row r="19" spans="1:11" x14ac:dyDescent="0.3">
      <c r="A19" s="2">
        <v>1004</v>
      </c>
      <c r="B19" s="3">
        <v>45306</v>
      </c>
      <c r="C19" s="2" t="s">
        <v>20</v>
      </c>
      <c r="D19" s="2" t="s">
        <v>21</v>
      </c>
      <c r="E19" s="2" t="s">
        <v>22</v>
      </c>
      <c r="F19" s="2" t="s">
        <v>19</v>
      </c>
      <c r="G19" s="2">
        <v>3</v>
      </c>
      <c r="H19" s="2">
        <v>7000</v>
      </c>
      <c r="I19" s="2">
        <v>21000</v>
      </c>
    </row>
    <row r="20" spans="1:11" x14ac:dyDescent="0.3">
      <c r="A20" s="2">
        <v>1005</v>
      </c>
      <c r="B20" s="3">
        <v>45309</v>
      </c>
      <c r="C20" s="2" t="s">
        <v>9</v>
      </c>
      <c r="D20" s="2" t="s">
        <v>10</v>
      </c>
      <c r="E20" s="2" t="s">
        <v>15</v>
      </c>
      <c r="F20" s="2" t="s">
        <v>12</v>
      </c>
      <c r="G20" s="2">
        <v>4</v>
      </c>
      <c r="H20" s="2">
        <v>20000</v>
      </c>
      <c r="I20" s="2">
        <v>80000</v>
      </c>
    </row>
    <row r="21" spans="1:11" x14ac:dyDescent="0.3">
      <c r="A21" s="2">
        <v>1006</v>
      </c>
      <c r="B21" s="3">
        <v>45311</v>
      </c>
      <c r="C21" s="2" t="s">
        <v>13</v>
      </c>
      <c r="D21" s="2" t="s">
        <v>14</v>
      </c>
      <c r="E21" s="2" t="s">
        <v>11</v>
      </c>
      <c r="F21" s="2" t="s">
        <v>12</v>
      </c>
      <c r="G21" s="2">
        <v>1</v>
      </c>
      <c r="H21" s="2">
        <v>50000</v>
      </c>
      <c r="I21" s="2">
        <v>50000</v>
      </c>
    </row>
    <row r="22" spans="1:11" x14ac:dyDescent="0.3">
      <c r="A22" s="2">
        <v>1007</v>
      </c>
      <c r="B22" s="3">
        <v>45316</v>
      </c>
      <c r="C22" s="2" t="s">
        <v>16</v>
      </c>
      <c r="D22" s="2" t="s">
        <v>17</v>
      </c>
      <c r="E22" s="2" t="s">
        <v>23</v>
      </c>
      <c r="F22" s="2" t="s">
        <v>19</v>
      </c>
      <c r="G22" s="2">
        <v>2</v>
      </c>
      <c r="H22" s="2">
        <v>10000</v>
      </c>
      <c r="I22" s="2">
        <v>20000</v>
      </c>
    </row>
    <row r="23" spans="1:11" x14ac:dyDescent="0.3">
      <c r="A23" s="2">
        <v>1008</v>
      </c>
      <c r="B23" s="3">
        <v>45319</v>
      </c>
      <c r="C23" s="2" t="s">
        <v>20</v>
      </c>
      <c r="D23" s="2" t="s">
        <v>21</v>
      </c>
      <c r="E23" s="2" t="s">
        <v>15</v>
      </c>
      <c r="F23" s="2" t="s">
        <v>12</v>
      </c>
      <c r="G23" s="2">
        <v>6</v>
      </c>
      <c r="H23" s="2">
        <v>20000</v>
      </c>
      <c r="I23" s="2">
        <v>120000</v>
      </c>
    </row>
    <row r="24" spans="1:11" x14ac:dyDescent="0.3">
      <c r="A24" s="2">
        <v>1009</v>
      </c>
      <c r="B24" s="3">
        <v>45324</v>
      </c>
      <c r="C24" s="2" t="s">
        <v>9</v>
      </c>
      <c r="D24" s="2" t="s">
        <v>10</v>
      </c>
      <c r="E24" s="2" t="s">
        <v>22</v>
      </c>
      <c r="F24" s="2" t="s">
        <v>19</v>
      </c>
      <c r="G24" s="2">
        <v>5</v>
      </c>
      <c r="H24" s="2">
        <v>7000</v>
      </c>
      <c r="I24" s="2">
        <v>35000</v>
      </c>
    </row>
    <row r="25" spans="1:11" x14ac:dyDescent="0.3">
      <c r="A25" s="2">
        <v>1010</v>
      </c>
      <c r="B25" s="3">
        <v>45327</v>
      </c>
      <c r="C25" s="2" t="s">
        <v>13</v>
      </c>
      <c r="D25" s="2" t="s">
        <v>14</v>
      </c>
      <c r="E25" s="2" t="s">
        <v>18</v>
      </c>
      <c r="F25" s="2" t="s">
        <v>19</v>
      </c>
      <c r="G25" s="2">
        <v>7</v>
      </c>
      <c r="H25" s="2">
        <v>3000</v>
      </c>
      <c r="I25" s="2">
        <v>21000</v>
      </c>
    </row>
    <row r="28" spans="1:11" x14ac:dyDescent="0.3">
      <c r="A28" s="9" t="s">
        <v>28</v>
      </c>
      <c r="B28" s="9"/>
      <c r="C28" s="9"/>
    </row>
    <row r="30" spans="1:11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11" x14ac:dyDescent="0.3">
      <c r="A31" s="2">
        <v>1001</v>
      </c>
      <c r="B31" s="3">
        <v>45296</v>
      </c>
      <c r="C31" s="2" t="s">
        <v>9</v>
      </c>
      <c r="D31" s="2" t="s">
        <v>10</v>
      </c>
      <c r="E31" s="2" t="s">
        <v>11</v>
      </c>
      <c r="F31" s="2" t="s">
        <v>12</v>
      </c>
      <c r="G31" s="2">
        <v>2</v>
      </c>
      <c r="H31" s="2">
        <v>50000</v>
      </c>
      <c r="I31" s="2">
        <v>100000</v>
      </c>
      <c r="K31" s="6" t="s">
        <v>43</v>
      </c>
    </row>
    <row r="32" spans="1:11" x14ac:dyDescent="0.3">
      <c r="A32" s="2">
        <v>1002</v>
      </c>
      <c r="B32" s="3">
        <v>45299</v>
      </c>
      <c r="C32" s="2" t="s">
        <v>13</v>
      </c>
      <c r="D32" s="2" t="s">
        <v>14</v>
      </c>
      <c r="E32" s="2" t="s">
        <v>15</v>
      </c>
      <c r="F32" s="2" t="s">
        <v>12</v>
      </c>
      <c r="G32" s="2">
        <v>5</v>
      </c>
      <c r="H32" s="2">
        <v>20000</v>
      </c>
      <c r="I32" s="2">
        <v>100000</v>
      </c>
      <c r="K32" s="10">
        <f>SUM(G31:G40)</f>
        <v>45</v>
      </c>
    </row>
    <row r="33" spans="1:11" x14ac:dyDescent="0.3">
      <c r="A33" s="2">
        <v>1003</v>
      </c>
      <c r="B33" s="3">
        <v>45303</v>
      </c>
      <c r="C33" s="2" t="s">
        <v>16</v>
      </c>
      <c r="D33" s="2" t="s">
        <v>17</v>
      </c>
      <c r="E33" s="2" t="s">
        <v>18</v>
      </c>
      <c r="F33" s="2" t="s">
        <v>19</v>
      </c>
      <c r="G33" s="2">
        <v>10</v>
      </c>
      <c r="H33" s="2">
        <v>3000</v>
      </c>
      <c r="I33" s="2">
        <v>30000</v>
      </c>
    </row>
    <row r="34" spans="1:11" x14ac:dyDescent="0.3">
      <c r="A34" s="2">
        <v>1004</v>
      </c>
      <c r="B34" s="3">
        <v>45306</v>
      </c>
      <c r="C34" s="2" t="s">
        <v>20</v>
      </c>
      <c r="D34" s="2" t="s">
        <v>21</v>
      </c>
      <c r="E34" s="2" t="s">
        <v>22</v>
      </c>
      <c r="F34" s="2" t="s">
        <v>19</v>
      </c>
      <c r="G34" s="2">
        <v>3</v>
      </c>
      <c r="H34" s="2">
        <v>7000</v>
      </c>
      <c r="I34" s="2">
        <v>21000</v>
      </c>
    </row>
    <row r="35" spans="1:11" x14ac:dyDescent="0.3">
      <c r="A35" s="2">
        <v>1005</v>
      </c>
      <c r="B35" s="3">
        <v>45309</v>
      </c>
      <c r="C35" s="2" t="s">
        <v>9</v>
      </c>
      <c r="D35" s="2" t="s">
        <v>10</v>
      </c>
      <c r="E35" s="2" t="s">
        <v>15</v>
      </c>
      <c r="F35" s="2" t="s">
        <v>12</v>
      </c>
      <c r="G35" s="2">
        <v>4</v>
      </c>
      <c r="H35" s="2">
        <v>20000</v>
      </c>
      <c r="I35" s="2">
        <v>80000</v>
      </c>
    </row>
    <row r="36" spans="1:11" x14ac:dyDescent="0.3">
      <c r="A36" s="2">
        <v>1006</v>
      </c>
      <c r="B36" s="3">
        <v>45311</v>
      </c>
      <c r="C36" s="2" t="s">
        <v>13</v>
      </c>
      <c r="D36" s="2" t="s">
        <v>14</v>
      </c>
      <c r="E36" s="2" t="s">
        <v>11</v>
      </c>
      <c r="F36" s="2" t="s">
        <v>12</v>
      </c>
      <c r="G36" s="2">
        <v>1</v>
      </c>
      <c r="H36" s="2">
        <v>50000</v>
      </c>
      <c r="I36" s="2">
        <v>50000</v>
      </c>
    </row>
    <row r="37" spans="1:11" x14ac:dyDescent="0.3">
      <c r="A37" s="2">
        <v>1007</v>
      </c>
      <c r="B37" s="3">
        <v>45316</v>
      </c>
      <c r="C37" s="2" t="s">
        <v>16</v>
      </c>
      <c r="D37" s="2" t="s">
        <v>17</v>
      </c>
      <c r="E37" s="2" t="s">
        <v>23</v>
      </c>
      <c r="F37" s="2" t="s">
        <v>19</v>
      </c>
      <c r="G37" s="2">
        <v>2</v>
      </c>
      <c r="H37" s="2">
        <v>10000</v>
      </c>
      <c r="I37" s="2">
        <v>20000</v>
      </c>
    </row>
    <row r="38" spans="1:11" x14ac:dyDescent="0.3">
      <c r="A38" s="2">
        <v>1008</v>
      </c>
      <c r="B38" s="3">
        <v>45319</v>
      </c>
      <c r="C38" s="2" t="s">
        <v>20</v>
      </c>
      <c r="D38" s="2" t="s">
        <v>21</v>
      </c>
      <c r="E38" s="2" t="s">
        <v>15</v>
      </c>
      <c r="F38" s="2" t="s">
        <v>12</v>
      </c>
      <c r="G38" s="2">
        <v>6</v>
      </c>
      <c r="H38" s="2">
        <v>20000</v>
      </c>
      <c r="I38" s="2">
        <v>120000</v>
      </c>
    </row>
    <row r="39" spans="1:11" x14ac:dyDescent="0.3">
      <c r="A39" s="2">
        <v>1009</v>
      </c>
      <c r="B39" s="3">
        <v>45324</v>
      </c>
      <c r="C39" s="2" t="s">
        <v>9</v>
      </c>
      <c r="D39" s="2" t="s">
        <v>10</v>
      </c>
      <c r="E39" s="2" t="s">
        <v>22</v>
      </c>
      <c r="F39" s="2" t="s">
        <v>19</v>
      </c>
      <c r="G39" s="2">
        <v>5</v>
      </c>
      <c r="H39" s="2">
        <v>7000</v>
      </c>
      <c r="I39" s="2">
        <v>35000</v>
      </c>
    </row>
    <row r="40" spans="1:11" x14ac:dyDescent="0.3">
      <c r="A40" s="2">
        <v>1010</v>
      </c>
      <c r="B40" s="3">
        <v>45327</v>
      </c>
      <c r="C40" s="2" t="s">
        <v>13</v>
      </c>
      <c r="D40" s="2" t="s">
        <v>14</v>
      </c>
      <c r="E40" s="2" t="s">
        <v>18</v>
      </c>
      <c r="F40" s="2" t="s">
        <v>19</v>
      </c>
      <c r="G40" s="2">
        <v>7</v>
      </c>
      <c r="H40" s="2">
        <v>3000</v>
      </c>
      <c r="I40" s="2">
        <v>21000</v>
      </c>
    </row>
    <row r="42" spans="1:11" x14ac:dyDescent="0.3">
      <c r="A42" s="9" t="s">
        <v>29</v>
      </c>
      <c r="B42" s="9"/>
      <c r="C42" s="9"/>
    </row>
    <row r="44" spans="1:11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</row>
    <row r="45" spans="1:11" x14ac:dyDescent="0.3">
      <c r="A45" s="2">
        <v>1001</v>
      </c>
      <c r="B45" s="3">
        <v>45296</v>
      </c>
      <c r="C45" s="2" t="s">
        <v>9</v>
      </c>
      <c r="D45" s="2" t="s">
        <v>10</v>
      </c>
      <c r="E45" s="2" t="s">
        <v>11</v>
      </c>
      <c r="F45" s="2" t="s">
        <v>12</v>
      </c>
      <c r="G45" s="2">
        <v>2</v>
      </c>
      <c r="H45" s="2">
        <v>50000</v>
      </c>
      <c r="I45" s="2">
        <v>100000</v>
      </c>
      <c r="K45" s="6" t="s">
        <v>44</v>
      </c>
    </row>
    <row r="46" spans="1:11" x14ac:dyDescent="0.3">
      <c r="A46" s="2">
        <v>1002</v>
      </c>
      <c r="B46" s="3">
        <v>45299</v>
      </c>
      <c r="C46" s="2" t="s">
        <v>13</v>
      </c>
      <c r="D46" s="2" t="s">
        <v>14</v>
      </c>
      <c r="E46" s="2" t="s">
        <v>15</v>
      </c>
      <c r="F46" s="2" t="s">
        <v>12</v>
      </c>
      <c r="G46" s="2">
        <v>5</v>
      </c>
      <c r="H46" s="2">
        <v>20000</v>
      </c>
      <c r="I46" s="2">
        <v>100000</v>
      </c>
      <c r="K46" s="10">
        <f>AVERAGE(I45:I54)</f>
        <v>57700</v>
      </c>
    </row>
    <row r="47" spans="1:11" x14ac:dyDescent="0.3">
      <c r="A47" s="2">
        <v>1003</v>
      </c>
      <c r="B47" s="3">
        <v>45303</v>
      </c>
      <c r="C47" s="2" t="s">
        <v>16</v>
      </c>
      <c r="D47" s="2" t="s">
        <v>17</v>
      </c>
      <c r="E47" s="2" t="s">
        <v>18</v>
      </c>
      <c r="F47" s="2" t="s">
        <v>19</v>
      </c>
      <c r="G47" s="2">
        <v>10</v>
      </c>
      <c r="H47" s="2">
        <v>3000</v>
      </c>
      <c r="I47" s="2">
        <v>30000</v>
      </c>
    </row>
    <row r="48" spans="1:11" x14ac:dyDescent="0.3">
      <c r="A48" s="2">
        <v>1004</v>
      </c>
      <c r="B48" s="3">
        <v>45306</v>
      </c>
      <c r="C48" s="2" t="s">
        <v>20</v>
      </c>
      <c r="D48" s="2" t="s">
        <v>21</v>
      </c>
      <c r="E48" s="2" t="s">
        <v>22</v>
      </c>
      <c r="F48" s="2" t="s">
        <v>19</v>
      </c>
      <c r="G48" s="2">
        <v>3</v>
      </c>
      <c r="H48" s="2">
        <v>7000</v>
      </c>
      <c r="I48" s="2">
        <v>21000</v>
      </c>
    </row>
    <row r="49" spans="1:11" x14ac:dyDescent="0.3">
      <c r="A49" s="2">
        <v>1005</v>
      </c>
      <c r="B49" s="3">
        <v>45309</v>
      </c>
      <c r="C49" s="2" t="s">
        <v>9</v>
      </c>
      <c r="D49" s="2" t="s">
        <v>10</v>
      </c>
      <c r="E49" s="2" t="s">
        <v>15</v>
      </c>
      <c r="F49" s="2" t="s">
        <v>12</v>
      </c>
      <c r="G49" s="2">
        <v>4</v>
      </c>
      <c r="H49" s="2">
        <v>20000</v>
      </c>
      <c r="I49" s="2">
        <v>80000</v>
      </c>
    </row>
    <row r="50" spans="1:11" x14ac:dyDescent="0.3">
      <c r="A50" s="2">
        <v>1006</v>
      </c>
      <c r="B50" s="3">
        <v>45311</v>
      </c>
      <c r="C50" s="2" t="s">
        <v>13</v>
      </c>
      <c r="D50" s="2" t="s">
        <v>14</v>
      </c>
      <c r="E50" s="2" t="s">
        <v>11</v>
      </c>
      <c r="F50" s="2" t="s">
        <v>12</v>
      </c>
      <c r="G50" s="2">
        <v>1</v>
      </c>
      <c r="H50" s="2">
        <v>50000</v>
      </c>
      <c r="I50" s="2">
        <v>50000</v>
      </c>
    </row>
    <row r="51" spans="1:11" x14ac:dyDescent="0.3">
      <c r="A51" s="2">
        <v>1007</v>
      </c>
      <c r="B51" s="3">
        <v>45316</v>
      </c>
      <c r="C51" s="2" t="s">
        <v>16</v>
      </c>
      <c r="D51" s="2" t="s">
        <v>17</v>
      </c>
      <c r="E51" s="2" t="s">
        <v>23</v>
      </c>
      <c r="F51" s="2" t="s">
        <v>19</v>
      </c>
      <c r="G51" s="2">
        <v>2</v>
      </c>
      <c r="H51" s="2">
        <v>10000</v>
      </c>
      <c r="I51" s="2">
        <v>20000</v>
      </c>
    </row>
    <row r="52" spans="1:11" x14ac:dyDescent="0.3">
      <c r="A52" s="2">
        <v>1008</v>
      </c>
      <c r="B52" s="3">
        <v>45319</v>
      </c>
      <c r="C52" s="2" t="s">
        <v>20</v>
      </c>
      <c r="D52" s="2" t="s">
        <v>21</v>
      </c>
      <c r="E52" s="2" t="s">
        <v>15</v>
      </c>
      <c r="F52" s="2" t="s">
        <v>12</v>
      </c>
      <c r="G52" s="2">
        <v>6</v>
      </c>
      <c r="H52" s="2">
        <v>20000</v>
      </c>
      <c r="I52" s="2">
        <v>120000</v>
      </c>
    </row>
    <row r="53" spans="1:11" x14ac:dyDescent="0.3">
      <c r="A53" s="2">
        <v>1009</v>
      </c>
      <c r="B53" s="3">
        <v>45324</v>
      </c>
      <c r="C53" s="2" t="s">
        <v>9</v>
      </c>
      <c r="D53" s="2" t="s">
        <v>10</v>
      </c>
      <c r="E53" s="2" t="s">
        <v>22</v>
      </c>
      <c r="F53" s="2" t="s">
        <v>19</v>
      </c>
      <c r="G53" s="2">
        <v>5</v>
      </c>
      <c r="H53" s="2">
        <v>7000</v>
      </c>
      <c r="I53" s="2">
        <v>35000</v>
      </c>
    </row>
    <row r="54" spans="1:11" x14ac:dyDescent="0.3">
      <c r="A54" s="2">
        <v>1010</v>
      </c>
      <c r="B54" s="3">
        <v>45327</v>
      </c>
      <c r="C54" s="2" t="s">
        <v>13</v>
      </c>
      <c r="D54" s="2" t="s">
        <v>14</v>
      </c>
      <c r="E54" s="2" t="s">
        <v>18</v>
      </c>
      <c r="F54" s="2" t="s">
        <v>19</v>
      </c>
      <c r="G54" s="2">
        <v>7</v>
      </c>
      <c r="H54" s="2">
        <v>3000</v>
      </c>
      <c r="I54" s="2">
        <v>21000</v>
      </c>
    </row>
    <row r="56" spans="1:11" x14ac:dyDescent="0.3">
      <c r="A56" s="9" t="s">
        <v>30</v>
      </c>
      <c r="B56" s="9"/>
      <c r="C56" s="9"/>
      <c r="D56" s="9"/>
    </row>
    <row r="58" spans="1:11" x14ac:dyDescent="0.3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  <c r="H58" s="1" t="s">
        <v>7</v>
      </c>
      <c r="I58" s="1" t="s">
        <v>8</v>
      </c>
    </row>
    <row r="59" spans="1:11" x14ac:dyDescent="0.3">
      <c r="A59" s="7">
        <v>1001</v>
      </c>
      <c r="B59" s="8">
        <v>45296</v>
      </c>
      <c r="C59" s="7" t="s">
        <v>9</v>
      </c>
      <c r="D59" s="7" t="s">
        <v>10</v>
      </c>
      <c r="E59" s="7" t="s">
        <v>11</v>
      </c>
      <c r="F59" s="7" t="s">
        <v>12</v>
      </c>
      <c r="G59" s="7">
        <v>2</v>
      </c>
      <c r="H59" s="7">
        <v>50000</v>
      </c>
      <c r="I59" s="7">
        <v>100000</v>
      </c>
      <c r="K59" s="6" t="s">
        <v>45</v>
      </c>
    </row>
    <row r="60" spans="1:11" x14ac:dyDescent="0.3">
      <c r="A60" s="2">
        <v>1002</v>
      </c>
      <c r="B60" s="3">
        <v>45299</v>
      </c>
      <c r="C60" s="2" t="s">
        <v>13</v>
      </c>
      <c r="D60" s="2" t="s">
        <v>14</v>
      </c>
      <c r="E60" s="2" t="s">
        <v>15</v>
      </c>
      <c r="F60" s="2" t="s">
        <v>12</v>
      </c>
      <c r="G60" s="2">
        <v>5</v>
      </c>
      <c r="H60" s="2">
        <v>20000</v>
      </c>
      <c r="I60" s="2">
        <v>100000</v>
      </c>
      <c r="K60" s="10">
        <f>AVERAGE(G59:G68)</f>
        <v>4.5</v>
      </c>
    </row>
    <row r="61" spans="1:11" x14ac:dyDescent="0.3">
      <c r="A61" s="2">
        <v>1003</v>
      </c>
      <c r="B61" s="3">
        <v>45303</v>
      </c>
      <c r="C61" s="2" t="s">
        <v>16</v>
      </c>
      <c r="D61" s="2" t="s">
        <v>17</v>
      </c>
      <c r="E61" s="2" t="s">
        <v>18</v>
      </c>
      <c r="F61" s="2" t="s">
        <v>19</v>
      </c>
      <c r="G61" s="2">
        <v>10</v>
      </c>
      <c r="H61" s="2">
        <v>3000</v>
      </c>
      <c r="I61" s="2">
        <v>30000</v>
      </c>
    </row>
    <row r="62" spans="1:11" x14ac:dyDescent="0.3">
      <c r="A62" s="2">
        <v>1004</v>
      </c>
      <c r="B62" s="3">
        <v>45306</v>
      </c>
      <c r="C62" s="2" t="s">
        <v>20</v>
      </c>
      <c r="D62" s="2" t="s">
        <v>21</v>
      </c>
      <c r="E62" s="2" t="s">
        <v>22</v>
      </c>
      <c r="F62" s="2" t="s">
        <v>19</v>
      </c>
      <c r="G62" s="2">
        <v>3</v>
      </c>
      <c r="H62" s="2">
        <v>7000</v>
      </c>
      <c r="I62" s="2">
        <v>21000</v>
      </c>
    </row>
    <row r="63" spans="1:11" x14ac:dyDescent="0.3">
      <c r="A63" s="2">
        <v>1005</v>
      </c>
      <c r="B63" s="3">
        <v>45309</v>
      </c>
      <c r="C63" s="2" t="s">
        <v>9</v>
      </c>
      <c r="D63" s="2" t="s">
        <v>10</v>
      </c>
      <c r="E63" s="2" t="s">
        <v>15</v>
      </c>
      <c r="F63" s="2" t="s">
        <v>12</v>
      </c>
      <c r="G63" s="2">
        <v>4</v>
      </c>
      <c r="H63" s="2">
        <v>20000</v>
      </c>
      <c r="I63" s="2">
        <v>80000</v>
      </c>
    </row>
    <row r="64" spans="1:11" x14ac:dyDescent="0.3">
      <c r="A64" s="2">
        <v>1006</v>
      </c>
      <c r="B64" s="3">
        <v>45311</v>
      </c>
      <c r="C64" s="2" t="s">
        <v>13</v>
      </c>
      <c r="D64" s="2" t="s">
        <v>14</v>
      </c>
      <c r="E64" s="2" t="s">
        <v>11</v>
      </c>
      <c r="F64" s="2" t="s">
        <v>12</v>
      </c>
      <c r="G64" s="2">
        <v>1</v>
      </c>
      <c r="H64" s="2">
        <v>50000</v>
      </c>
      <c r="I64" s="2">
        <v>50000</v>
      </c>
    </row>
    <row r="65" spans="1:11" x14ac:dyDescent="0.3">
      <c r="A65" s="2">
        <v>1007</v>
      </c>
      <c r="B65" s="3">
        <v>45316</v>
      </c>
      <c r="C65" s="2" t="s">
        <v>16</v>
      </c>
      <c r="D65" s="2" t="s">
        <v>17</v>
      </c>
      <c r="E65" s="2" t="s">
        <v>23</v>
      </c>
      <c r="F65" s="2" t="s">
        <v>19</v>
      </c>
      <c r="G65" s="2">
        <v>2</v>
      </c>
      <c r="H65" s="2">
        <v>10000</v>
      </c>
      <c r="I65" s="2">
        <v>20000</v>
      </c>
    </row>
    <row r="66" spans="1:11" x14ac:dyDescent="0.3">
      <c r="A66" s="2">
        <v>1008</v>
      </c>
      <c r="B66" s="3">
        <v>45319</v>
      </c>
      <c r="C66" s="2" t="s">
        <v>20</v>
      </c>
      <c r="D66" s="2" t="s">
        <v>21</v>
      </c>
      <c r="E66" s="2" t="s">
        <v>15</v>
      </c>
      <c r="F66" s="2" t="s">
        <v>12</v>
      </c>
      <c r="G66" s="2">
        <v>6</v>
      </c>
      <c r="H66" s="2">
        <v>20000</v>
      </c>
      <c r="I66" s="2">
        <v>120000</v>
      </c>
    </row>
    <row r="67" spans="1:11" x14ac:dyDescent="0.3">
      <c r="A67" s="2">
        <v>1009</v>
      </c>
      <c r="B67" s="3">
        <v>45324</v>
      </c>
      <c r="C67" s="2" t="s">
        <v>9</v>
      </c>
      <c r="D67" s="2" t="s">
        <v>10</v>
      </c>
      <c r="E67" s="2" t="s">
        <v>22</v>
      </c>
      <c r="F67" s="2" t="s">
        <v>19</v>
      </c>
      <c r="G67" s="2">
        <v>5</v>
      </c>
      <c r="H67" s="2">
        <v>7000</v>
      </c>
      <c r="I67" s="2">
        <v>35000</v>
      </c>
    </row>
    <row r="68" spans="1:11" x14ac:dyDescent="0.3">
      <c r="A68" s="2">
        <v>1010</v>
      </c>
      <c r="B68" s="3">
        <v>45327</v>
      </c>
      <c r="C68" s="2" t="s">
        <v>13</v>
      </c>
      <c r="D68" s="2" t="s">
        <v>14</v>
      </c>
      <c r="E68" s="2" t="s">
        <v>18</v>
      </c>
      <c r="F68" s="2" t="s">
        <v>19</v>
      </c>
      <c r="G68" s="2">
        <v>7</v>
      </c>
      <c r="H68" s="2">
        <v>3000</v>
      </c>
      <c r="I68" s="2">
        <v>21000</v>
      </c>
    </row>
    <row r="70" spans="1:11" x14ac:dyDescent="0.3">
      <c r="A70" s="9" t="s">
        <v>31</v>
      </c>
      <c r="B70" s="9"/>
      <c r="C70" s="9"/>
    </row>
    <row r="72" spans="1:11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K72" s="5" t="s">
        <v>46</v>
      </c>
    </row>
    <row r="73" spans="1:11" x14ac:dyDescent="0.3">
      <c r="A73" s="7">
        <v>1001</v>
      </c>
      <c r="B73" s="8">
        <v>45296</v>
      </c>
      <c r="C73" s="7" t="s">
        <v>9</v>
      </c>
      <c r="D73" s="7" t="s">
        <v>10</v>
      </c>
      <c r="E73" s="7" t="s">
        <v>11</v>
      </c>
      <c r="F73" s="7" t="s">
        <v>12</v>
      </c>
      <c r="G73" s="7">
        <v>2</v>
      </c>
      <c r="H73" s="7">
        <v>50000</v>
      </c>
      <c r="I73" s="7">
        <v>100000</v>
      </c>
      <c r="K73" s="10">
        <f>COUNT(A73:A82)</f>
        <v>10</v>
      </c>
    </row>
    <row r="74" spans="1:11" x14ac:dyDescent="0.3">
      <c r="A74" s="2">
        <v>1002</v>
      </c>
      <c r="B74" s="3">
        <v>45299</v>
      </c>
      <c r="C74" s="2" t="s">
        <v>13</v>
      </c>
      <c r="D74" s="2" t="s">
        <v>14</v>
      </c>
      <c r="E74" s="2" t="s">
        <v>15</v>
      </c>
      <c r="F74" s="2" t="s">
        <v>12</v>
      </c>
      <c r="G74" s="2">
        <v>5</v>
      </c>
      <c r="H74" s="2">
        <v>20000</v>
      </c>
      <c r="I74" s="2">
        <v>100000</v>
      </c>
    </row>
    <row r="75" spans="1:11" x14ac:dyDescent="0.3">
      <c r="A75" s="2">
        <v>1003</v>
      </c>
      <c r="B75" s="3">
        <v>45303</v>
      </c>
      <c r="C75" s="2" t="s">
        <v>16</v>
      </c>
      <c r="D75" s="2" t="s">
        <v>17</v>
      </c>
      <c r="E75" s="2" t="s">
        <v>18</v>
      </c>
      <c r="F75" s="2" t="s">
        <v>19</v>
      </c>
      <c r="G75" s="2">
        <v>10</v>
      </c>
      <c r="H75" s="2">
        <v>3000</v>
      </c>
      <c r="I75" s="2">
        <v>30000</v>
      </c>
    </row>
    <row r="76" spans="1:11" x14ac:dyDescent="0.3">
      <c r="A76" s="2">
        <v>1004</v>
      </c>
      <c r="B76" s="3">
        <v>45306</v>
      </c>
      <c r="C76" s="2" t="s">
        <v>20</v>
      </c>
      <c r="D76" s="2" t="s">
        <v>21</v>
      </c>
      <c r="E76" s="2" t="s">
        <v>22</v>
      </c>
      <c r="F76" s="2" t="s">
        <v>19</v>
      </c>
      <c r="G76" s="2">
        <v>3</v>
      </c>
      <c r="H76" s="2">
        <v>7000</v>
      </c>
      <c r="I76" s="2">
        <v>21000</v>
      </c>
    </row>
    <row r="77" spans="1:11" x14ac:dyDescent="0.3">
      <c r="A77" s="2">
        <v>1005</v>
      </c>
      <c r="B77" s="3">
        <v>45309</v>
      </c>
      <c r="C77" s="2" t="s">
        <v>9</v>
      </c>
      <c r="D77" s="2" t="s">
        <v>10</v>
      </c>
      <c r="E77" s="2" t="s">
        <v>15</v>
      </c>
      <c r="F77" s="2" t="s">
        <v>12</v>
      </c>
      <c r="G77" s="2">
        <v>4</v>
      </c>
      <c r="H77" s="2">
        <v>20000</v>
      </c>
      <c r="I77" s="2">
        <v>80000</v>
      </c>
    </row>
    <row r="78" spans="1:11" x14ac:dyDescent="0.3">
      <c r="A78" s="2">
        <v>1006</v>
      </c>
      <c r="B78" s="3">
        <v>45311</v>
      </c>
      <c r="C78" s="2" t="s">
        <v>13</v>
      </c>
      <c r="D78" s="2" t="s">
        <v>14</v>
      </c>
      <c r="E78" s="2" t="s">
        <v>11</v>
      </c>
      <c r="F78" s="2" t="s">
        <v>12</v>
      </c>
      <c r="G78" s="2">
        <v>1</v>
      </c>
      <c r="H78" s="2">
        <v>50000</v>
      </c>
      <c r="I78" s="2">
        <v>50000</v>
      </c>
    </row>
    <row r="79" spans="1:11" x14ac:dyDescent="0.3">
      <c r="A79" s="2">
        <v>1007</v>
      </c>
      <c r="B79" s="3">
        <v>45316</v>
      </c>
      <c r="C79" s="2" t="s">
        <v>16</v>
      </c>
      <c r="D79" s="2" t="s">
        <v>17</v>
      </c>
      <c r="E79" s="2" t="s">
        <v>23</v>
      </c>
      <c r="F79" s="2" t="s">
        <v>19</v>
      </c>
      <c r="G79" s="2">
        <v>2</v>
      </c>
      <c r="H79" s="2">
        <v>10000</v>
      </c>
      <c r="I79" s="2">
        <v>20000</v>
      </c>
    </row>
    <row r="80" spans="1:11" x14ac:dyDescent="0.3">
      <c r="A80" s="2">
        <v>1008</v>
      </c>
      <c r="B80" s="3">
        <v>45319</v>
      </c>
      <c r="C80" s="2" t="s">
        <v>20</v>
      </c>
      <c r="D80" s="2" t="s">
        <v>21</v>
      </c>
      <c r="E80" s="2" t="s">
        <v>15</v>
      </c>
      <c r="F80" s="2" t="s">
        <v>12</v>
      </c>
      <c r="G80" s="2">
        <v>6</v>
      </c>
      <c r="H80" s="2">
        <v>20000</v>
      </c>
      <c r="I80" s="2">
        <v>120000</v>
      </c>
    </row>
    <row r="81" spans="1:11" x14ac:dyDescent="0.3">
      <c r="A81" s="2">
        <v>1009</v>
      </c>
      <c r="B81" s="3">
        <v>45324</v>
      </c>
      <c r="C81" s="2" t="s">
        <v>9</v>
      </c>
      <c r="D81" s="2" t="s">
        <v>10</v>
      </c>
      <c r="E81" s="2" t="s">
        <v>22</v>
      </c>
      <c r="F81" s="2" t="s">
        <v>19</v>
      </c>
      <c r="G81" s="2">
        <v>5</v>
      </c>
      <c r="H81" s="2">
        <v>7000</v>
      </c>
      <c r="I81" s="2">
        <v>35000</v>
      </c>
    </row>
    <row r="82" spans="1:11" x14ac:dyDescent="0.3">
      <c r="A82" s="2">
        <v>1010</v>
      </c>
      <c r="B82" s="3">
        <v>45327</v>
      </c>
      <c r="C82" s="2" t="s">
        <v>13</v>
      </c>
      <c r="D82" s="2" t="s">
        <v>14</v>
      </c>
      <c r="E82" s="2" t="s">
        <v>18</v>
      </c>
      <c r="F82" s="2" t="s">
        <v>19</v>
      </c>
      <c r="G82" s="2">
        <v>7</v>
      </c>
      <c r="H82" s="2">
        <v>3000</v>
      </c>
      <c r="I82" s="2">
        <v>21000</v>
      </c>
    </row>
    <row r="84" spans="1:11" x14ac:dyDescent="0.3">
      <c r="A84" s="9" t="s">
        <v>32</v>
      </c>
      <c r="B84" s="9"/>
      <c r="C84" s="9"/>
      <c r="D84" s="9"/>
    </row>
    <row r="86" spans="1:11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K86" s="5" t="s">
        <v>47</v>
      </c>
    </row>
    <row r="87" spans="1:11" x14ac:dyDescent="0.3">
      <c r="A87" s="7">
        <v>1001</v>
      </c>
      <c r="B87" s="8">
        <v>45296</v>
      </c>
      <c r="C87" s="7" t="s">
        <v>9</v>
      </c>
      <c r="D87" s="7" t="s">
        <v>10</v>
      </c>
      <c r="E87" s="7" t="s">
        <v>11</v>
      </c>
      <c r="F87" s="7" t="s">
        <v>12</v>
      </c>
      <c r="G87" s="7">
        <v>2</v>
      </c>
      <c r="H87" s="7">
        <v>50000</v>
      </c>
      <c r="I87" s="7">
        <v>100000</v>
      </c>
      <c r="K87" s="10">
        <f>COUNTIF(F87:F96,"Furniture")</f>
        <v>5</v>
      </c>
    </row>
    <row r="88" spans="1:11" x14ac:dyDescent="0.3">
      <c r="A88" s="2">
        <v>1002</v>
      </c>
      <c r="B88" s="3">
        <v>45299</v>
      </c>
      <c r="C88" s="2" t="s">
        <v>13</v>
      </c>
      <c r="D88" s="2" t="s">
        <v>14</v>
      </c>
      <c r="E88" s="2" t="s">
        <v>15</v>
      </c>
      <c r="F88" s="2" t="s">
        <v>12</v>
      </c>
      <c r="G88" s="2">
        <v>5</v>
      </c>
      <c r="H88" s="2">
        <v>20000</v>
      </c>
      <c r="I88" s="2">
        <v>100000</v>
      </c>
    </row>
    <row r="89" spans="1:11" x14ac:dyDescent="0.3">
      <c r="A89" s="2">
        <v>1003</v>
      </c>
      <c r="B89" s="3">
        <v>45303</v>
      </c>
      <c r="C89" s="2" t="s">
        <v>16</v>
      </c>
      <c r="D89" s="2" t="s">
        <v>17</v>
      </c>
      <c r="E89" s="2" t="s">
        <v>18</v>
      </c>
      <c r="F89" s="2" t="s">
        <v>19</v>
      </c>
      <c r="G89" s="2">
        <v>10</v>
      </c>
      <c r="H89" s="2">
        <v>3000</v>
      </c>
      <c r="I89" s="2">
        <v>30000</v>
      </c>
    </row>
    <row r="90" spans="1:11" x14ac:dyDescent="0.3">
      <c r="A90" s="2">
        <v>1004</v>
      </c>
      <c r="B90" s="3">
        <v>45306</v>
      </c>
      <c r="C90" s="2" t="s">
        <v>20</v>
      </c>
      <c r="D90" s="2" t="s">
        <v>21</v>
      </c>
      <c r="E90" s="2" t="s">
        <v>22</v>
      </c>
      <c r="F90" s="2" t="s">
        <v>19</v>
      </c>
      <c r="G90" s="2">
        <v>3</v>
      </c>
      <c r="H90" s="2">
        <v>7000</v>
      </c>
      <c r="I90" s="2">
        <v>21000</v>
      </c>
    </row>
    <row r="91" spans="1:11" x14ac:dyDescent="0.3">
      <c r="A91" s="2">
        <v>1005</v>
      </c>
      <c r="B91" s="3">
        <v>45309</v>
      </c>
      <c r="C91" s="2" t="s">
        <v>9</v>
      </c>
      <c r="D91" s="2" t="s">
        <v>10</v>
      </c>
      <c r="E91" s="2" t="s">
        <v>15</v>
      </c>
      <c r="F91" s="2" t="s">
        <v>12</v>
      </c>
      <c r="G91" s="2">
        <v>4</v>
      </c>
      <c r="H91" s="2">
        <v>20000</v>
      </c>
      <c r="I91" s="2">
        <v>80000</v>
      </c>
    </row>
    <row r="92" spans="1:11" x14ac:dyDescent="0.3">
      <c r="A92" s="2">
        <v>1006</v>
      </c>
      <c r="B92" s="3">
        <v>45311</v>
      </c>
      <c r="C92" s="2" t="s">
        <v>13</v>
      </c>
      <c r="D92" s="2" t="s">
        <v>14</v>
      </c>
      <c r="E92" s="2" t="s">
        <v>11</v>
      </c>
      <c r="F92" s="2" t="s">
        <v>12</v>
      </c>
      <c r="G92" s="2">
        <v>1</v>
      </c>
      <c r="H92" s="2">
        <v>50000</v>
      </c>
      <c r="I92" s="2">
        <v>50000</v>
      </c>
    </row>
    <row r="93" spans="1:11" x14ac:dyDescent="0.3">
      <c r="A93" s="2">
        <v>1007</v>
      </c>
      <c r="B93" s="3">
        <v>45316</v>
      </c>
      <c r="C93" s="2" t="s">
        <v>16</v>
      </c>
      <c r="D93" s="2" t="s">
        <v>17</v>
      </c>
      <c r="E93" s="2" t="s">
        <v>23</v>
      </c>
      <c r="F93" s="2" t="s">
        <v>19</v>
      </c>
      <c r="G93" s="2">
        <v>2</v>
      </c>
      <c r="H93" s="2">
        <v>10000</v>
      </c>
      <c r="I93" s="2">
        <v>20000</v>
      </c>
    </row>
    <row r="94" spans="1:11" x14ac:dyDescent="0.3">
      <c r="A94" s="2">
        <v>1008</v>
      </c>
      <c r="B94" s="3">
        <v>45319</v>
      </c>
      <c r="C94" s="2" t="s">
        <v>20</v>
      </c>
      <c r="D94" s="2" t="s">
        <v>21</v>
      </c>
      <c r="E94" s="2" t="s">
        <v>15</v>
      </c>
      <c r="F94" s="2" t="s">
        <v>12</v>
      </c>
      <c r="G94" s="2">
        <v>6</v>
      </c>
      <c r="H94" s="2">
        <v>20000</v>
      </c>
      <c r="I94" s="2">
        <v>120000</v>
      </c>
    </row>
    <row r="95" spans="1:11" x14ac:dyDescent="0.3">
      <c r="A95" s="2">
        <v>1009</v>
      </c>
      <c r="B95" s="3">
        <v>45324</v>
      </c>
      <c r="C95" s="2" t="s">
        <v>9</v>
      </c>
      <c r="D95" s="2" t="s">
        <v>10</v>
      </c>
      <c r="E95" s="2" t="s">
        <v>22</v>
      </c>
      <c r="F95" s="2" t="s">
        <v>19</v>
      </c>
      <c r="G95" s="2">
        <v>5</v>
      </c>
      <c r="H95" s="2">
        <v>7000</v>
      </c>
      <c r="I95" s="2">
        <v>35000</v>
      </c>
    </row>
    <row r="96" spans="1:11" x14ac:dyDescent="0.3">
      <c r="A96" s="2">
        <v>1010</v>
      </c>
      <c r="B96" s="3">
        <v>45327</v>
      </c>
      <c r="C96" s="2" t="s">
        <v>13</v>
      </c>
      <c r="D96" s="2" t="s">
        <v>14</v>
      </c>
      <c r="E96" s="2" t="s">
        <v>18</v>
      </c>
      <c r="F96" s="2" t="s">
        <v>19</v>
      </c>
      <c r="G96" s="2">
        <v>7</v>
      </c>
      <c r="H96" s="2">
        <v>3000</v>
      </c>
      <c r="I96" s="2">
        <v>21000</v>
      </c>
    </row>
    <row r="98" spans="1:12" x14ac:dyDescent="0.3">
      <c r="A98" s="9" t="s">
        <v>33</v>
      </c>
      <c r="B98" s="9"/>
      <c r="C98" s="9"/>
      <c r="D98" s="9"/>
    </row>
    <row r="100" spans="1:12" x14ac:dyDescent="0.3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</row>
    <row r="101" spans="1:12" x14ac:dyDescent="0.3">
      <c r="A101" s="7">
        <v>1001</v>
      </c>
      <c r="B101" s="8">
        <v>45296</v>
      </c>
      <c r="C101" s="7" t="s">
        <v>9</v>
      </c>
      <c r="D101" s="7" t="s">
        <v>10</v>
      </c>
      <c r="E101" s="7" t="s">
        <v>11</v>
      </c>
      <c r="F101" s="7" t="s">
        <v>12</v>
      </c>
      <c r="G101" s="7">
        <v>2</v>
      </c>
      <c r="H101" s="7">
        <v>50000</v>
      </c>
      <c r="I101" s="7">
        <v>100000</v>
      </c>
      <c r="K101" s="10" t="s">
        <v>48</v>
      </c>
      <c r="L101" s="10" t="s">
        <v>49</v>
      </c>
    </row>
    <row r="102" spans="1:12" x14ac:dyDescent="0.3">
      <c r="A102" s="2">
        <v>1002</v>
      </c>
      <c r="B102" s="3">
        <v>45299</v>
      </c>
      <c r="C102" s="2" t="s">
        <v>13</v>
      </c>
      <c r="D102" s="2" t="s">
        <v>14</v>
      </c>
      <c r="E102" s="2" t="s">
        <v>15</v>
      </c>
      <c r="F102" s="2" t="s">
        <v>12</v>
      </c>
      <c r="G102" s="2">
        <v>5</v>
      </c>
      <c r="H102" s="2">
        <v>20000</v>
      </c>
      <c r="I102" s="2">
        <v>100000</v>
      </c>
      <c r="K102" s="12" t="s">
        <v>12</v>
      </c>
      <c r="L102" s="10">
        <f>SUMIF(F101:F110,"Electronics",I101:I110)</f>
        <v>450000</v>
      </c>
    </row>
    <row r="103" spans="1:12" x14ac:dyDescent="0.3">
      <c r="A103" s="2">
        <v>1003</v>
      </c>
      <c r="B103" s="3">
        <v>45303</v>
      </c>
      <c r="C103" s="2" t="s">
        <v>16</v>
      </c>
      <c r="D103" s="2" t="s">
        <v>17</v>
      </c>
      <c r="E103" s="2" t="s">
        <v>18</v>
      </c>
      <c r="F103" s="2" t="s">
        <v>19</v>
      </c>
      <c r="G103" s="2">
        <v>10</v>
      </c>
      <c r="H103" s="2">
        <v>3000</v>
      </c>
      <c r="I103" s="2">
        <v>30000</v>
      </c>
    </row>
    <row r="104" spans="1:12" x14ac:dyDescent="0.3">
      <c r="A104" s="2">
        <v>1004</v>
      </c>
      <c r="B104" s="3">
        <v>45306</v>
      </c>
      <c r="C104" s="2" t="s">
        <v>20</v>
      </c>
      <c r="D104" s="2" t="s">
        <v>21</v>
      </c>
      <c r="E104" s="2" t="s">
        <v>22</v>
      </c>
      <c r="F104" s="2" t="s">
        <v>19</v>
      </c>
      <c r="G104" s="2">
        <v>3</v>
      </c>
      <c r="H104" s="2">
        <v>7000</v>
      </c>
      <c r="I104" s="2">
        <v>21000</v>
      </c>
    </row>
    <row r="105" spans="1:12" x14ac:dyDescent="0.3">
      <c r="A105" s="2">
        <v>1005</v>
      </c>
      <c r="B105" s="3">
        <v>45309</v>
      </c>
      <c r="C105" s="2" t="s">
        <v>9</v>
      </c>
      <c r="D105" s="2" t="s">
        <v>10</v>
      </c>
      <c r="E105" s="2" t="s">
        <v>15</v>
      </c>
      <c r="F105" s="2" t="s">
        <v>12</v>
      </c>
      <c r="G105" s="2">
        <v>4</v>
      </c>
      <c r="H105" s="2">
        <v>20000</v>
      </c>
      <c r="I105" s="2">
        <v>80000</v>
      </c>
    </row>
    <row r="106" spans="1:12" x14ac:dyDescent="0.3">
      <c r="A106" s="2">
        <v>1006</v>
      </c>
      <c r="B106" s="3">
        <v>45311</v>
      </c>
      <c r="C106" s="2" t="s">
        <v>13</v>
      </c>
      <c r="D106" s="2" t="s">
        <v>14</v>
      </c>
      <c r="E106" s="2" t="s">
        <v>11</v>
      </c>
      <c r="F106" s="2" t="s">
        <v>12</v>
      </c>
      <c r="G106" s="2">
        <v>1</v>
      </c>
      <c r="H106" s="2">
        <v>50000</v>
      </c>
      <c r="I106" s="2">
        <v>50000</v>
      </c>
    </row>
    <row r="107" spans="1:12" x14ac:dyDescent="0.3">
      <c r="A107" s="2">
        <v>1007</v>
      </c>
      <c r="B107" s="3">
        <v>45316</v>
      </c>
      <c r="C107" s="2" t="s">
        <v>16</v>
      </c>
      <c r="D107" s="2" t="s">
        <v>17</v>
      </c>
      <c r="E107" s="2" t="s">
        <v>23</v>
      </c>
      <c r="F107" s="2" t="s">
        <v>19</v>
      </c>
      <c r="G107" s="2">
        <v>2</v>
      </c>
      <c r="H107" s="2">
        <v>10000</v>
      </c>
      <c r="I107" s="2">
        <v>20000</v>
      </c>
    </row>
    <row r="108" spans="1:12" x14ac:dyDescent="0.3">
      <c r="A108" s="2">
        <v>1008</v>
      </c>
      <c r="B108" s="3">
        <v>45319</v>
      </c>
      <c r="C108" s="2" t="s">
        <v>20</v>
      </c>
      <c r="D108" s="2" t="s">
        <v>21</v>
      </c>
      <c r="E108" s="2" t="s">
        <v>15</v>
      </c>
      <c r="F108" s="2" t="s">
        <v>12</v>
      </c>
      <c r="G108" s="2">
        <v>6</v>
      </c>
      <c r="H108" s="2">
        <v>20000</v>
      </c>
      <c r="I108" s="2">
        <v>120000</v>
      </c>
    </row>
    <row r="109" spans="1:12" x14ac:dyDescent="0.3">
      <c r="A109" s="2">
        <v>1009</v>
      </c>
      <c r="B109" s="3">
        <v>45324</v>
      </c>
      <c r="C109" s="2" t="s">
        <v>9</v>
      </c>
      <c r="D109" s="2" t="s">
        <v>10</v>
      </c>
      <c r="E109" s="2" t="s">
        <v>22</v>
      </c>
      <c r="F109" s="2" t="s">
        <v>19</v>
      </c>
      <c r="G109" s="2">
        <v>5</v>
      </c>
      <c r="H109" s="2">
        <v>7000</v>
      </c>
      <c r="I109" s="2">
        <v>35000</v>
      </c>
    </row>
    <row r="110" spans="1:12" x14ac:dyDescent="0.3">
      <c r="A110" s="2">
        <v>1010</v>
      </c>
      <c r="B110" s="3">
        <v>45327</v>
      </c>
      <c r="C110" s="2" t="s">
        <v>13</v>
      </c>
      <c r="D110" s="2" t="s">
        <v>14</v>
      </c>
      <c r="E110" s="2" t="s">
        <v>18</v>
      </c>
      <c r="F110" s="2" t="s">
        <v>19</v>
      </c>
      <c r="G110" s="2">
        <v>7</v>
      </c>
      <c r="H110" s="2">
        <v>3000</v>
      </c>
      <c r="I110" s="2">
        <v>21000</v>
      </c>
    </row>
    <row r="112" spans="1:12" x14ac:dyDescent="0.3">
      <c r="A112" s="9" t="s">
        <v>34</v>
      </c>
      <c r="B112" s="9"/>
      <c r="C112" s="9"/>
    </row>
    <row r="114" spans="1:12" x14ac:dyDescent="0.3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</row>
    <row r="115" spans="1:12" x14ac:dyDescent="0.3">
      <c r="A115" s="7">
        <v>1001</v>
      </c>
      <c r="B115" s="8">
        <v>45296</v>
      </c>
      <c r="C115" s="7" t="s">
        <v>9</v>
      </c>
      <c r="D115" s="7" t="s">
        <v>10</v>
      </c>
      <c r="E115" s="7" t="s">
        <v>11</v>
      </c>
      <c r="F115" s="7" t="s">
        <v>12</v>
      </c>
      <c r="G115" s="7">
        <v>2</v>
      </c>
      <c r="H115" s="7">
        <v>50000</v>
      </c>
      <c r="I115" s="7">
        <v>100000</v>
      </c>
      <c r="K115" s="10" t="s">
        <v>3</v>
      </c>
      <c r="L115" s="10" t="s">
        <v>49</v>
      </c>
    </row>
    <row r="116" spans="1:12" x14ac:dyDescent="0.3">
      <c r="A116" s="2">
        <v>1002</v>
      </c>
      <c r="B116" s="3">
        <v>45299</v>
      </c>
      <c r="C116" s="2" t="s">
        <v>13</v>
      </c>
      <c r="D116" s="2" t="s">
        <v>14</v>
      </c>
      <c r="E116" s="2" t="s">
        <v>15</v>
      </c>
      <c r="F116" s="2" t="s">
        <v>12</v>
      </c>
      <c r="G116" s="2">
        <v>5</v>
      </c>
      <c r="H116" s="2">
        <v>20000</v>
      </c>
      <c r="I116" s="2">
        <v>100000</v>
      </c>
      <c r="K116" s="10" t="s">
        <v>10</v>
      </c>
      <c r="L116" s="10">
        <f>SUMIF(D115:D124,"Amit",I115:I124)</f>
        <v>215000</v>
      </c>
    </row>
    <row r="117" spans="1:12" x14ac:dyDescent="0.3">
      <c r="A117" s="2">
        <v>1003</v>
      </c>
      <c r="B117" s="3">
        <v>45303</v>
      </c>
      <c r="C117" s="2" t="s">
        <v>16</v>
      </c>
      <c r="D117" s="2" t="s">
        <v>17</v>
      </c>
      <c r="E117" s="2" t="s">
        <v>18</v>
      </c>
      <c r="F117" s="2" t="s">
        <v>19</v>
      </c>
      <c r="G117" s="2">
        <v>10</v>
      </c>
      <c r="H117" s="2">
        <v>3000</v>
      </c>
      <c r="I117" s="2">
        <v>30000</v>
      </c>
    </row>
    <row r="118" spans="1:12" x14ac:dyDescent="0.3">
      <c r="A118" s="2">
        <v>1004</v>
      </c>
      <c r="B118" s="3">
        <v>45306</v>
      </c>
      <c r="C118" s="2" t="s">
        <v>20</v>
      </c>
      <c r="D118" s="2" t="s">
        <v>21</v>
      </c>
      <c r="E118" s="2" t="s">
        <v>22</v>
      </c>
      <c r="F118" s="2" t="s">
        <v>19</v>
      </c>
      <c r="G118" s="2">
        <v>3</v>
      </c>
      <c r="H118" s="2">
        <v>7000</v>
      </c>
      <c r="I118" s="2">
        <v>21000</v>
      </c>
    </row>
    <row r="119" spans="1:12" x14ac:dyDescent="0.3">
      <c r="A119" s="2">
        <v>1005</v>
      </c>
      <c r="B119" s="3">
        <v>45309</v>
      </c>
      <c r="C119" s="2" t="s">
        <v>9</v>
      </c>
      <c r="D119" s="2" t="s">
        <v>10</v>
      </c>
      <c r="E119" s="2" t="s">
        <v>15</v>
      </c>
      <c r="F119" s="2" t="s">
        <v>12</v>
      </c>
      <c r="G119" s="2">
        <v>4</v>
      </c>
      <c r="H119" s="2">
        <v>20000</v>
      </c>
      <c r="I119" s="2">
        <v>80000</v>
      </c>
    </row>
    <row r="120" spans="1:12" x14ac:dyDescent="0.3">
      <c r="A120" s="2">
        <v>1006</v>
      </c>
      <c r="B120" s="3">
        <v>45311</v>
      </c>
      <c r="C120" s="2" t="s">
        <v>13</v>
      </c>
      <c r="D120" s="2" t="s">
        <v>14</v>
      </c>
      <c r="E120" s="2" t="s">
        <v>11</v>
      </c>
      <c r="F120" s="2" t="s">
        <v>12</v>
      </c>
      <c r="G120" s="2">
        <v>1</v>
      </c>
      <c r="H120" s="2">
        <v>50000</v>
      </c>
      <c r="I120" s="2">
        <v>50000</v>
      </c>
    </row>
    <row r="121" spans="1:12" x14ac:dyDescent="0.3">
      <c r="A121" s="2">
        <v>1007</v>
      </c>
      <c r="B121" s="3">
        <v>45316</v>
      </c>
      <c r="C121" s="2" t="s">
        <v>16</v>
      </c>
      <c r="D121" s="2" t="s">
        <v>17</v>
      </c>
      <c r="E121" s="2" t="s">
        <v>23</v>
      </c>
      <c r="F121" s="2" t="s">
        <v>19</v>
      </c>
      <c r="G121" s="2">
        <v>2</v>
      </c>
      <c r="H121" s="2">
        <v>10000</v>
      </c>
      <c r="I121" s="2">
        <v>20000</v>
      </c>
    </row>
    <row r="122" spans="1:12" x14ac:dyDescent="0.3">
      <c r="A122" s="2">
        <v>1008</v>
      </c>
      <c r="B122" s="3">
        <v>45319</v>
      </c>
      <c r="C122" s="2" t="s">
        <v>20</v>
      </c>
      <c r="D122" s="2" t="s">
        <v>21</v>
      </c>
      <c r="E122" s="2" t="s">
        <v>15</v>
      </c>
      <c r="F122" s="2" t="s">
        <v>12</v>
      </c>
      <c r="G122" s="2">
        <v>6</v>
      </c>
      <c r="H122" s="2">
        <v>20000</v>
      </c>
      <c r="I122" s="2">
        <v>120000</v>
      </c>
    </row>
    <row r="123" spans="1:12" x14ac:dyDescent="0.3">
      <c r="A123" s="2">
        <v>1009</v>
      </c>
      <c r="B123" s="3">
        <v>45324</v>
      </c>
      <c r="C123" s="2" t="s">
        <v>9</v>
      </c>
      <c r="D123" s="2" t="s">
        <v>10</v>
      </c>
      <c r="E123" s="2" t="s">
        <v>22</v>
      </c>
      <c r="F123" s="2" t="s">
        <v>19</v>
      </c>
      <c r="G123" s="2">
        <v>5</v>
      </c>
      <c r="H123" s="2">
        <v>7000</v>
      </c>
      <c r="I123" s="2">
        <v>35000</v>
      </c>
    </row>
    <row r="124" spans="1:12" x14ac:dyDescent="0.3">
      <c r="A124" s="2">
        <v>1010</v>
      </c>
      <c r="B124" s="3">
        <v>45327</v>
      </c>
      <c r="C124" s="2" t="s">
        <v>13</v>
      </c>
      <c r="D124" s="2" t="s">
        <v>14</v>
      </c>
      <c r="E124" s="2" t="s">
        <v>18</v>
      </c>
      <c r="F124" s="2" t="s">
        <v>19</v>
      </c>
      <c r="G124" s="2">
        <v>7</v>
      </c>
      <c r="H124" s="2">
        <v>3000</v>
      </c>
      <c r="I124" s="2">
        <v>21000</v>
      </c>
    </row>
    <row r="126" spans="1:12" x14ac:dyDescent="0.3">
      <c r="A126" s="9" t="s">
        <v>35</v>
      </c>
      <c r="B126" s="9"/>
      <c r="C126" s="9"/>
      <c r="D126" s="9"/>
    </row>
    <row r="128" spans="1:12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</row>
    <row r="129" spans="1:13" x14ac:dyDescent="0.3">
      <c r="A129" s="7">
        <v>1001</v>
      </c>
      <c r="B129" s="8">
        <v>45296</v>
      </c>
      <c r="C129" s="7" t="s">
        <v>9</v>
      </c>
      <c r="D129" s="7" t="s">
        <v>10</v>
      </c>
      <c r="E129" s="7" t="s">
        <v>11</v>
      </c>
      <c r="F129" s="7" t="s">
        <v>12</v>
      </c>
      <c r="G129" s="7">
        <v>2</v>
      </c>
      <c r="H129" s="7">
        <v>50000</v>
      </c>
      <c r="I129" s="7">
        <v>100000</v>
      </c>
      <c r="K129" s="10" t="s">
        <v>5</v>
      </c>
      <c r="L129" s="10" t="s">
        <v>2</v>
      </c>
      <c r="M129" s="10" t="s">
        <v>49</v>
      </c>
    </row>
    <row r="130" spans="1:13" x14ac:dyDescent="0.3">
      <c r="A130" s="2">
        <v>1002</v>
      </c>
      <c r="B130" s="3">
        <v>45299</v>
      </c>
      <c r="C130" s="2" t="s">
        <v>13</v>
      </c>
      <c r="D130" s="2" t="s">
        <v>14</v>
      </c>
      <c r="E130" s="2" t="s">
        <v>15</v>
      </c>
      <c r="F130" s="2" t="s">
        <v>12</v>
      </c>
      <c r="G130" s="2">
        <v>5</v>
      </c>
      <c r="H130" s="2">
        <v>20000</v>
      </c>
      <c r="I130" s="2">
        <v>100000</v>
      </c>
      <c r="K130" s="12" t="s">
        <v>12</v>
      </c>
      <c r="L130" s="12" t="s">
        <v>9</v>
      </c>
      <c r="M130" s="10">
        <f>SUMIFS(I129:I138,F129:F138,"Electronics",C129:C138,"East")</f>
        <v>180000</v>
      </c>
    </row>
    <row r="131" spans="1:13" x14ac:dyDescent="0.3">
      <c r="A131" s="2">
        <v>1003</v>
      </c>
      <c r="B131" s="3">
        <v>45303</v>
      </c>
      <c r="C131" s="2" t="s">
        <v>16</v>
      </c>
      <c r="D131" s="2" t="s">
        <v>17</v>
      </c>
      <c r="E131" s="2" t="s">
        <v>18</v>
      </c>
      <c r="F131" s="2" t="s">
        <v>19</v>
      </c>
      <c r="G131" s="2">
        <v>10</v>
      </c>
      <c r="H131" s="2">
        <v>3000</v>
      </c>
      <c r="I131" s="2">
        <v>30000</v>
      </c>
    </row>
    <row r="132" spans="1:13" x14ac:dyDescent="0.3">
      <c r="A132" s="2">
        <v>1004</v>
      </c>
      <c r="B132" s="3">
        <v>45306</v>
      </c>
      <c r="C132" s="2" t="s">
        <v>20</v>
      </c>
      <c r="D132" s="2" t="s">
        <v>21</v>
      </c>
      <c r="E132" s="2" t="s">
        <v>22</v>
      </c>
      <c r="F132" s="2" t="s">
        <v>19</v>
      </c>
      <c r="G132" s="2">
        <v>3</v>
      </c>
      <c r="H132" s="2">
        <v>7000</v>
      </c>
      <c r="I132" s="2">
        <v>21000</v>
      </c>
    </row>
    <row r="133" spans="1:13" x14ac:dyDescent="0.3">
      <c r="A133" s="2">
        <v>1005</v>
      </c>
      <c r="B133" s="3">
        <v>45309</v>
      </c>
      <c r="C133" s="2" t="s">
        <v>9</v>
      </c>
      <c r="D133" s="2" t="s">
        <v>10</v>
      </c>
      <c r="E133" s="2" t="s">
        <v>15</v>
      </c>
      <c r="F133" s="2" t="s">
        <v>12</v>
      </c>
      <c r="G133" s="2">
        <v>4</v>
      </c>
      <c r="H133" s="2">
        <v>20000</v>
      </c>
      <c r="I133" s="2">
        <v>80000</v>
      </c>
    </row>
    <row r="134" spans="1:13" x14ac:dyDescent="0.3">
      <c r="A134" s="2">
        <v>1006</v>
      </c>
      <c r="B134" s="3">
        <v>45311</v>
      </c>
      <c r="C134" s="2" t="s">
        <v>13</v>
      </c>
      <c r="D134" s="2" t="s">
        <v>14</v>
      </c>
      <c r="E134" s="2" t="s">
        <v>11</v>
      </c>
      <c r="F134" s="2" t="s">
        <v>12</v>
      </c>
      <c r="G134" s="2">
        <v>1</v>
      </c>
      <c r="H134" s="2">
        <v>50000</v>
      </c>
      <c r="I134" s="2">
        <v>50000</v>
      </c>
    </row>
    <row r="135" spans="1:13" x14ac:dyDescent="0.3">
      <c r="A135" s="2">
        <v>1007</v>
      </c>
      <c r="B135" s="3">
        <v>45316</v>
      </c>
      <c r="C135" s="2" t="s">
        <v>16</v>
      </c>
      <c r="D135" s="2" t="s">
        <v>17</v>
      </c>
      <c r="E135" s="2" t="s">
        <v>23</v>
      </c>
      <c r="F135" s="2" t="s">
        <v>19</v>
      </c>
      <c r="G135" s="2">
        <v>2</v>
      </c>
      <c r="H135" s="2">
        <v>10000</v>
      </c>
      <c r="I135" s="2">
        <v>20000</v>
      </c>
    </row>
    <row r="136" spans="1:13" x14ac:dyDescent="0.3">
      <c r="A136" s="2">
        <v>1008</v>
      </c>
      <c r="B136" s="3">
        <v>45319</v>
      </c>
      <c r="C136" s="2" t="s">
        <v>20</v>
      </c>
      <c r="D136" s="2" t="s">
        <v>21</v>
      </c>
      <c r="E136" s="2" t="s">
        <v>15</v>
      </c>
      <c r="F136" s="2" t="s">
        <v>12</v>
      </c>
      <c r="G136" s="2">
        <v>6</v>
      </c>
      <c r="H136" s="2">
        <v>20000</v>
      </c>
      <c r="I136" s="2">
        <v>120000</v>
      </c>
    </row>
    <row r="137" spans="1:13" x14ac:dyDescent="0.3">
      <c r="A137" s="2">
        <v>1009</v>
      </c>
      <c r="B137" s="3">
        <v>45324</v>
      </c>
      <c r="C137" s="2" t="s">
        <v>9</v>
      </c>
      <c r="D137" s="2" t="s">
        <v>10</v>
      </c>
      <c r="E137" s="2" t="s">
        <v>22</v>
      </c>
      <c r="F137" s="2" t="s">
        <v>19</v>
      </c>
      <c r="G137" s="2">
        <v>5</v>
      </c>
      <c r="H137" s="2">
        <v>7000</v>
      </c>
      <c r="I137" s="2">
        <v>35000</v>
      </c>
    </row>
    <row r="138" spans="1:13" x14ac:dyDescent="0.3">
      <c r="A138" s="2">
        <v>1010</v>
      </c>
      <c r="B138" s="3">
        <v>45327</v>
      </c>
      <c r="C138" s="2" t="s">
        <v>13</v>
      </c>
      <c r="D138" s="2" t="s">
        <v>14</v>
      </c>
      <c r="E138" s="2" t="s">
        <v>18</v>
      </c>
      <c r="F138" s="2" t="s">
        <v>19</v>
      </c>
      <c r="G138" s="2">
        <v>7</v>
      </c>
      <c r="H138" s="2">
        <v>3000</v>
      </c>
      <c r="I138" s="2">
        <v>21000</v>
      </c>
    </row>
    <row r="140" spans="1:13" x14ac:dyDescent="0.3">
      <c r="A140" s="9" t="s">
        <v>36</v>
      </c>
      <c r="B140" s="9"/>
      <c r="C140" s="9"/>
      <c r="D140" s="9"/>
    </row>
    <row r="142" spans="1:13" x14ac:dyDescent="0.3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  <c r="H142" s="1" t="s">
        <v>7</v>
      </c>
      <c r="I142" s="1" t="s">
        <v>8</v>
      </c>
      <c r="K142" s="10" t="s">
        <v>3</v>
      </c>
      <c r="L142" s="10" t="s">
        <v>2</v>
      </c>
      <c r="M142" s="10" t="s">
        <v>49</v>
      </c>
    </row>
    <row r="143" spans="1:13" x14ac:dyDescent="0.3">
      <c r="A143" s="7">
        <v>1001</v>
      </c>
      <c r="B143" s="8">
        <v>45296</v>
      </c>
      <c r="C143" s="7" t="s">
        <v>9</v>
      </c>
      <c r="D143" s="7" t="s">
        <v>10</v>
      </c>
      <c r="E143" s="7" t="s">
        <v>11</v>
      </c>
      <c r="F143" s="7" t="s">
        <v>12</v>
      </c>
      <c r="G143" s="7">
        <v>2</v>
      </c>
      <c r="H143" s="7">
        <v>50000</v>
      </c>
      <c r="I143" s="7">
        <v>100000</v>
      </c>
      <c r="K143" s="10" t="s">
        <v>14</v>
      </c>
      <c r="L143" s="10" t="s">
        <v>13</v>
      </c>
      <c r="M143" s="10">
        <f>SUMIFS(I143:I152,D143:D152,"Priya",C143:C152,"West")</f>
        <v>171000</v>
      </c>
    </row>
    <row r="144" spans="1:13" x14ac:dyDescent="0.3">
      <c r="A144" s="2">
        <v>1002</v>
      </c>
      <c r="B144" s="3">
        <v>45299</v>
      </c>
      <c r="C144" s="2" t="s">
        <v>13</v>
      </c>
      <c r="D144" s="2" t="s">
        <v>14</v>
      </c>
      <c r="E144" s="2" t="s">
        <v>15</v>
      </c>
      <c r="F144" s="2" t="s">
        <v>12</v>
      </c>
      <c r="G144" s="2">
        <v>5</v>
      </c>
      <c r="H144" s="2">
        <v>20000</v>
      </c>
      <c r="I144" s="2">
        <v>100000</v>
      </c>
    </row>
    <row r="145" spans="1:9" x14ac:dyDescent="0.3">
      <c r="A145" s="2">
        <v>1003</v>
      </c>
      <c r="B145" s="3">
        <v>45303</v>
      </c>
      <c r="C145" s="2" t="s">
        <v>16</v>
      </c>
      <c r="D145" s="2" t="s">
        <v>17</v>
      </c>
      <c r="E145" s="2" t="s">
        <v>18</v>
      </c>
      <c r="F145" s="2" t="s">
        <v>19</v>
      </c>
      <c r="G145" s="2">
        <v>10</v>
      </c>
      <c r="H145" s="2">
        <v>3000</v>
      </c>
      <c r="I145" s="2">
        <v>30000</v>
      </c>
    </row>
    <row r="146" spans="1:9" x14ac:dyDescent="0.3">
      <c r="A146" s="2">
        <v>1004</v>
      </c>
      <c r="B146" s="3">
        <v>45306</v>
      </c>
      <c r="C146" s="2" t="s">
        <v>20</v>
      </c>
      <c r="D146" s="2" t="s">
        <v>21</v>
      </c>
      <c r="E146" s="2" t="s">
        <v>22</v>
      </c>
      <c r="F146" s="2" t="s">
        <v>19</v>
      </c>
      <c r="G146" s="2">
        <v>3</v>
      </c>
      <c r="H146" s="2">
        <v>7000</v>
      </c>
      <c r="I146" s="2">
        <v>21000</v>
      </c>
    </row>
    <row r="147" spans="1:9" x14ac:dyDescent="0.3">
      <c r="A147" s="2">
        <v>1005</v>
      </c>
      <c r="B147" s="3">
        <v>45309</v>
      </c>
      <c r="C147" s="2" t="s">
        <v>9</v>
      </c>
      <c r="D147" s="2" t="s">
        <v>10</v>
      </c>
      <c r="E147" s="2" t="s">
        <v>15</v>
      </c>
      <c r="F147" s="2" t="s">
        <v>12</v>
      </c>
      <c r="G147" s="2">
        <v>4</v>
      </c>
      <c r="H147" s="2">
        <v>20000</v>
      </c>
      <c r="I147" s="2">
        <v>80000</v>
      </c>
    </row>
    <row r="148" spans="1:9" x14ac:dyDescent="0.3">
      <c r="A148" s="2">
        <v>1006</v>
      </c>
      <c r="B148" s="3">
        <v>45311</v>
      </c>
      <c r="C148" s="2" t="s">
        <v>13</v>
      </c>
      <c r="D148" s="2" t="s">
        <v>14</v>
      </c>
      <c r="E148" s="2" t="s">
        <v>11</v>
      </c>
      <c r="F148" s="2" t="s">
        <v>12</v>
      </c>
      <c r="G148" s="2">
        <v>1</v>
      </c>
      <c r="H148" s="2">
        <v>50000</v>
      </c>
      <c r="I148" s="2">
        <v>50000</v>
      </c>
    </row>
    <row r="149" spans="1:9" x14ac:dyDescent="0.3">
      <c r="A149" s="2">
        <v>1007</v>
      </c>
      <c r="B149" s="3">
        <v>45316</v>
      </c>
      <c r="C149" s="2" t="s">
        <v>16</v>
      </c>
      <c r="D149" s="2" t="s">
        <v>17</v>
      </c>
      <c r="E149" s="2" t="s">
        <v>23</v>
      </c>
      <c r="F149" s="2" t="s">
        <v>19</v>
      </c>
      <c r="G149" s="2">
        <v>2</v>
      </c>
      <c r="H149" s="2">
        <v>10000</v>
      </c>
      <c r="I149" s="2">
        <v>20000</v>
      </c>
    </row>
    <row r="150" spans="1:9" x14ac:dyDescent="0.3">
      <c r="A150" s="2">
        <v>1008</v>
      </c>
      <c r="B150" s="3">
        <v>45319</v>
      </c>
      <c r="C150" s="2" t="s">
        <v>20</v>
      </c>
      <c r="D150" s="2" t="s">
        <v>21</v>
      </c>
      <c r="E150" s="2" t="s">
        <v>15</v>
      </c>
      <c r="F150" s="2" t="s">
        <v>12</v>
      </c>
      <c r="G150" s="2">
        <v>6</v>
      </c>
      <c r="H150" s="2">
        <v>20000</v>
      </c>
      <c r="I150" s="2">
        <v>120000</v>
      </c>
    </row>
    <row r="151" spans="1:9" x14ac:dyDescent="0.3">
      <c r="A151" s="2">
        <v>1009</v>
      </c>
      <c r="B151" s="3">
        <v>45324</v>
      </c>
      <c r="C151" s="2" t="s">
        <v>9</v>
      </c>
      <c r="D151" s="2" t="s">
        <v>10</v>
      </c>
      <c r="E151" s="2" t="s">
        <v>22</v>
      </c>
      <c r="F151" s="2" t="s">
        <v>19</v>
      </c>
      <c r="G151" s="2">
        <v>5</v>
      </c>
      <c r="H151" s="2">
        <v>7000</v>
      </c>
      <c r="I151" s="2">
        <v>35000</v>
      </c>
    </row>
    <row r="152" spans="1:9" x14ac:dyDescent="0.3">
      <c r="A152" s="2">
        <v>1010</v>
      </c>
      <c r="B152" s="3">
        <v>45327</v>
      </c>
      <c r="C152" s="2" t="s">
        <v>13</v>
      </c>
      <c r="D152" s="2" t="s">
        <v>14</v>
      </c>
      <c r="E152" s="2" t="s">
        <v>18</v>
      </c>
      <c r="F152" s="2" t="s">
        <v>19</v>
      </c>
      <c r="G152" s="2">
        <v>7</v>
      </c>
      <c r="H152" s="2">
        <v>3000</v>
      </c>
      <c r="I152" s="2">
        <v>21000</v>
      </c>
    </row>
    <row r="154" spans="1:9" x14ac:dyDescent="0.3">
      <c r="A154" s="9" t="s">
        <v>37</v>
      </c>
      <c r="B154" s="9"/>
      <c r="C154" s="9"/>
      <c r="D154" s="9"/>
    </row>
    <row r="156" spans="1:9" x14ac:dyDescent="0.3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  <c r="H156" s="1" t="s">
        <v>7</v>
      </c>
      <c r="I156" s="1" t="s">
        <v>8</v>
      </c>
    </row>
    <row r="157" spans="1:9" x14ac:dyDescent="0.3">
      <c r="A157" s="7">
        <v>1001</v>
      </c>
      <c r="B157" s="8">
        <v>45296</v>
      </c>
      <c r="C157" s="7" t="s">
        <v>9</v>
      </c>
      <c r="D157" s="7" t="s">
        <v>10</v>
      </c>
      <c r="E157" s="7" t="s">
        <v>11</v>
      </c>
      <c r="F157" s="7" t="s">
        <v>12</v>
      </c>
      <c r="G157" s="7">
        <v>2</v>
      </c>
      <c r="H157" s="7">
        <v>50000</v>
      </c>
      <c r="I157" s="7">
        <v>100000</v>
      </c>
    </row>
    <row r="158" spans="1:9" x14ac:dyDescent="0.3">
      <c r="A158" s="2">
        <v>1002</v>
      </c>
      <c r="B158" s="3">
        <v>45299</v>
      </c>
      <c r="C158" s="2" t="s">
        <v>13</v>
      </c>
      <c r="D158" s="2" t="s">
        <v>14</v>
      </c>
      <c r="E158" s="2" t="s">
        <v>15</v>
      </c>
      <c r="F158" s="2" t="s">
        <v>12</v>
      </c>
      <c r="G158" s="2">
        <v>5</v>
      </c>
      <c r="H158" s="2">
        <v>20000</v>
      </c>
      <c r="I158" s="2">
        <v>100000</v>
      </c>
    </row>
    <row r="159" spans="1:9" x14ac:dyDescent="0.3">
      <c r="A159" s="2">
        <v>1003</v>
      </c>
      <c r="B159" s="3">
        <v>45303</v>
      </c>
      <c r="C159" s="2" t="s">
        <v>16</v>
      </c>
      <c r="D159" s="2" t="s">
        <v>17</v>
      </c>
      <c r="E159" s="2" t="s">
        <v>18</v>
      </c>
      <c r="F159" s="2" t="s">
        <v>19</v>
      </c>
      <c r="G159" s="2">
        <v>10</v>
      </c>
      <c r="H159" s="2">
        <v>3000</v>
      </c>
      <c r="I159" s="2">
        <v>30000</v>
      </c>
    </row>
    <row r="160" spans="1:9" x14ac:dyDescent="0.3">
      <c r="A160" s="2">
        <v>1004</v>
      </c>
      <c r="B160" s="3">
        <v>45306</v>
      </c>
      <c r="C160" s="2" t="s">
        <v>20</v>
      </c>
      <c r="D160" s="2" t="s">
        <v>21</v>
      </c>
      <c r="E160" s="2" t="s">
        <v>22</v>
      </c>
      <c r="F160" s="2" t="s">
        <v>19</v>
      </c>
      <c r="G160" s="2">
        <v>3</v>
      </c>
      <c r="H160" s="2">
        <v>7000</v>
      </c>
      <c r="I160" s="2">
        <v>21000</v>
      </c>
    </row>
    <row r="161" spans="1:9" x14ac:dyDescent="0.3">
      <c r="A161" s="2">
        <v>1005</v>
      </c>
      <c r="B161" s="3">
        <v>45309</v>
      </c>
      <c r="C161" s="2" t="s">
        <v>9</v>
      </c>
      <c r="D161" s="2" t="s">
        <v>10</v>
      </c>
      <c r="E161" s="2" t="s">
        <v>15</v>
      </c>
      <c r="F161" s="2" t="s">
        <v>12</v>
      </c>
      <c r="G161" s="2">
        <v>4</v>
      </c>
      <c r="H161" s="2">
        <v>20000</v>
      </c>
      <c r="I161" s="2">
        <v>80000</v>
      </c>
    </row>
    <row r="162" spans="1:9" x14ac:dyDescent="0.3">
      <c r="A162" s="2">
        <v>1006</v>
      </c>
      <c r="B162" s="3">
        <v>45311</v>
      </c>
      <c r="C162" s="2" t="s">
        <v>13</v>
      </c>
      <c r="D162" s="2" t="s">
        <v>14</v>
      </c>
      <c r="E162" s="2" t="s">
        <v>11</v>
      </c>
      <c r="F162" s="2" t="s">
        <v>12</v>
      </c>
      <c r="G162" s="2">
        <v>1</v>
      </c>
      <c r="H162" s="2">
        <v>50000</v>
      </c>
      <c r="I162" s="2">
        <v>50000</v>
      </c>
    </row>
    <row r="163" spans="1:9" x14ac:dyDescent="0.3">
      <c r="A163" s="2">
        <v>1007</v>
      </c>
      <c r="B163" s="3">
        <v>45316</v>
      </c>
      <c r="C163" s="2" t="s">
        <v>16</v>
      </c>
      <c r="D163" s="2" t="s">
        <v>17</v>
      </c>
      <c r="E163" s="2" t="s">
        <v>23</v>
      </c>
      <c r="F163" s="2" t="s">
        <v>19</v>
      </c>
      <c r="G163" s="2">
        <v>2</v>
      </c>
      <c r="H163" s="2">
        <v>10000</v>
      </c>
      <c r="I163" s="2">
        <v>20000</v>
      </c>
    </row>
    <row r="164" spans="1:9" x14ac:dyDescent="0.3">
      <c r="A164" s="2">
        <v>1008</v>
      </c>
      <c r="B164" s="3">
        <v>45319</v>
      </c>
      <c r="C164" s="2" t="s">
        <v>20</v>
      </c>
      <c r="D164" s="2" t="s">
        <v>21</v>
      </c>
      <c r="E164" s="2" t="s">
        <v>15</v>
      </c>
      <c r="F164" s="2" t="s">
        <v>12</v>
      </c>
      <c r="G164" s="2">
        <v>6</v>
      </c>
      <c r="H164" s="2">
        <v>20000</v>
      </c>
      <c r="I164" s="2">
        <v>120000</v>
      </c>
    </row>
    <row r="165" spans="1:9" x14ac:dyDescent="0.3">
      <c r="A165" s="2">
        <v>1009</v>
      </c>
      <c r="B165" s="3">
        <v>45324</v>
      </c>
      <c r="C165" s="2" t="s">
        <v>9</v>
      </c>
      <c r="D165" s="2" t="s">
        <v>10</v>
      </c>
      <c r="E165" s="2" t="s">
        <v>22</v>
      </c>
      <c r="F165" s="2" t="s">
        <v>19</v>
      </c>
      <c r="G165" s="2">
        <v>5</v>
      </c>
      <c r="H165" s="2">
        <v>7000</v>
      </c>
      <c r="I165" s="2">
        <v>35000</v>
      </c>
    </row>
    <row r="166" spans="1:9" x14ac:dyDescent="0.3">
      <c r="A166" s="2">
        <v>1010</v>
      </c>
      <c r="B166" s="3">
        <v>45327</v>
      </c>
      <c r="C166" s="2" t="s">
        <v>13</v>
      </c>
      <c r="D166" s="2" t="s">
        <v>14</v>
      </c>
      <c r="E166" s="2" t="s">
        <v>18</v>
      </c>
      <c r="F166" s="2" t="s">
        <v>19</v>
      </c>
      <c r="G166" s="2">
        <v>7</v>
      </c>
      <c r="H166" s="2">
        <v>3000</v>
      </c>
      <c r="I166" s="2">
        <v>21000</v>
      </c>
    </row>
    <row r="168" spans="1:9" x14ac:dyDescent="0.3">
      <c r="A168" s="9" t="s">
        <v>38</v>
      </c>
      <c r="B168" s="9"/>
      <c r="C168" s="9"/>
    </row>
    <row r="170" spans="1:9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5</v>
      </c>
      <c r="G170" s="1" t="s">
        <v>6</v>
      </c>
      <c r="H170" s="1" t="s">
        <v>7</v>
      </c>
      <c r="I170" s="1" t="s">
        <v>8</v>
      </c>
    </row>
    <row r="171" spans="1:9" x14ac:dyDescent="0.3">
      <c r="A171" s="7">
        <v>1001</v>
      </c>
      <c r="B171" s="8">
        <v>45296</v>
      </c>
      <c r="C171" s="7" t="s">
        <v>9</v>
      </c>
      <c r="D171" s="7" t="s">
        <v>10</v>
      </c>
      <c r="E171" s="7" t="s">
        <v>11</v>
      </c>
      <c r="F171" s="7" t="s">
        <v>12</v>
      </c>
      <c r="G171" s="7">
        <v>2</v>
      </c>
      <c r="H171" s="7">
        <v>50000</v>
      </c>
      <c r="I171" s="7">
        <v>100000</v>
      </c>
    </row>
    <row r="172" spans="1:9" x14ac:dyDescent="0.3">
      <c r="A172" s="2">
        <v>1002</v>
      </c>
      <c r="B172" s="3">
        <v>45299</v>
      </c>
      <c r="C172" s="2" t="s">
        <v>13</v>
      </c>
      <c r="D172" s="2" t="s">
        <v>14</v>
      </c>
      <c r="E172" s="2" t="s">
        <v>15</v>
      </c>
      <c r="F172" s="2" t="s">
        <v>12</v>
      </c>
      <c r="G172" s="2">
        <v>5</v>
      </c>
      <c r="H172" s="2">
        <v>20000</v>
      </c>
      <c r="I172" s="2">
        <v>100000</v>
      </c>
    </row>
    <row r="173" spans="1:9" x14ac:dyDescent="0.3">
      <c r="A173" s="2">
        <v>1003</v>
      </c>
      <c r="B173" s="3">
        <v>45303</v>
      </c>
      <c r="C173" s="2" t="s">
        <v>16</v>
      </c>
      <c r="D173" s="2" t="s">
        <v>17</v>
      </c>
      <c r="E173" s="2" t="s">
        <v>18</v>
      </c>
      <c r="F173" s="2" t="s">
        <v>19</v>
      </c>
      <c r="G173" s="2">
        <v>10</v>
      </c>
      <c r="H173" s="2">
        <v>3000</v>
      </c>
      <c r="I173" s="2">
        <v>30000</v>
      </c>
    </row>
    <row r="174" spans="1:9" x14ac:dyDescent="0.3">
      <c r="A174" s="2">
        <v>1004</v>
      </c>
      <c r="B174" s="3">
        <v>45306</v>
      </c>
      <c r="C174" s="2" t="s">
        <v>20</v>
      </c>
      <c r="D174" s="2" t="s">
        <v>21</v>
      </c>
      <c r="E174" s="2" t="s">
        <v>22</v>
      </c>
      <c r="F174" s="2" t="s">
        <v>19</v>
      </c>
      <c r="G174" s="2">
        <v>3</v>
      </c>
      <c r="H174" s="2">
        <v>7000</v>
      </c>
      <c r="I174" s="2">
        <v>21000</v>
      </c>
    </row>
    <row r="175" spans="1:9" x14ac:dyDescent="0.3">
      <c r="A175" s="2">
        <v>1005</v>
      </c>
      <c r="B175" s="3">
        <v>45309</v>
      </c>
      <c r="C175" s="2" t="s">
        <v>9</v>
      </c>
      <c r="D175" s="2" t="s">
        <v>10</v>
      </c>
      <c r="E175" s="2" t="s">
        <v>15</v>
      </c>
      <c r="F175" s="2" t="s">
        <v>12</v>
      </c>
      <c r="G175" s="2">
        <v>4</v>
      </c>
      <c r="H175" s="2">
        <v>20000</v>
      </c>
      <c r="I175" s="2">
        <v>80000</v>
      </c>
    </row>
    <row r="176" spans="1:9" x14ac:dyDescent="0.3">
      <c r="A176" s="2">
        <v>1006</v>
      </c>
      <c r="B176" s="3">
        <v>45311</v>
      </c>
      <c r="C176" s="2" t="s">
        <v>13</v>
      </c>
      <c r="D176" s="2" t="s">
        <v>14</v>
      </c>
      <c r="E176" s="2" t="s">
        <v>11</v>
      </c>
      <c r="F176" s="2" t="s">
        <v>12</v>
      </c>
      <c r="G176" s="2">
        <v>1</v>
      </c>
      <c r="H176" s="2">
        <v>50000</v>
      </c>
      <c r="I176" s="2">
        <v>50000</v>
      </c>
    </row>
    <row r="177" spans="1:11" x14ac:dyDescent="0.3">
      <c r="A177" s="2">
        <v>1007</v>
      </c>
      <c r="B177" s="3">
        <v>45316</v>
      </c>
      <c r="C177" s="2" t="s">
        <v>16</v>
      </c>
      <c r="D177" s="2" t="s">
        <v>17</v>
      </c>
      <c r="E177" s="2" t="s">
        <v>23</v>
      </c>
      <c r="F177" s="2" t="s">
        <v>19</v>
      </c>
      <c r="G177" s="2">
        <v>2</v>
      </c>
      <c r="H177" s="2">
        <v>10000</v>
      </c>
      <c r="I177" s="2">
        <v>20000</v>
      </c>
    </row>
    <row r="178" spans="1:11" x14ac:dyDescent="0.3">
      <c r="A178" s="2">
        <v>1008</v>
      </c>
      <c r="B178" s="3">
        <v>45319</v>
      </c>
      <c r="C178" s="2" t="s">
        <v>20</v>
      </c>
      <c r="D178" s="2" t="s">
        <v>21</v>
      </c>
      <c r="E178" s="2" t="s">
        <v>15</v>
      </c>
      <c r="F178" s="2" t="s">
        <v>12</v>
      </c>
      <c r="G178" s="2">
        <v>6</v>
      </c>
      <c r="H178" s="2">
        <v>20000</v>
      </c>
      <c r="I178" s="2">
        <v>120000</v>
      </c>
    </row>
    <row r="179" spans="1:11" x14ac:dyDescent="0.3">
      <c r="A179" s="2">
        <v>1009</v>
      </c>
      <c r="B179" s="3">
        <v>45324</v>
      </c>
      <c r="C179" s="2" t="s">
        <v>9</v>
      </c>
      <c r="D179" s="2" t="s">
        <v>10</v>
      </c>
      <c r="E179" s="2" t="s">
        <v>22</v>
      </c>
      <c r="F179" s="2" t="s">
        <v>19</v>
      </c>
      <c r="G179" s="2">
        <v>5</v>
      </c>
      <c r="H179" s="2">
        <v>7000</v>
      </c>
      <c r="I179" s="2">
        <v>35000</v>
      </c>
    </row>
    <row r="180" spans="1:11" x14ac:dyDescent="0.3">
      <c r="A180" s="2">
        <v>1010</v>
      </c>
      <c r="B180" s="3">
        <v>45327</v>
      </c>
      <c r="C180" s="2" t="s">
        <v>13</v>
      </c>
      <c r="D180" s="2" t="s">
        <v>14</v>
      </c>
      <c r="E180" s="2" t="s">
        <v>18</v>
      </c>
      <c r="F180" s="2" t="s">
        <v>19</v>
      </c>
      <c r="G180" s="2">
        <v>7</v>
      </c>
      <c r="H180" s="2">
        <v>3000</v>
      </c>
      <c r="I180" s="2">
        <v>21000</v>
      </c>
    </row>
    <row r="182" spans="1:11" x14ac:dyDescent="0.3">
      <c r="A182" s="9" t="s">
        <v>39</v>
      </c>
      <c r="B182" s="9"/>
      <c r="C182" s="9"/>
      <c r="D182" s="9"/>
    </row>
    <row r="183" spans="1:11" x14ac:dyDescent="0.3">
      <c r="A183" s="11"/>
      <c r="B183" s="11" t="s">
        <v>40</v>
      </c>
      <c r="C183" s="9"/>
      <c r="D183" s="9"/>
    </row>
    <row r="184" spans="1:11" x14ac:dyDescent="0.3">
      <c r="A184" s="11"/>
      <c r="B184" s="11" t="s">
        <v>41</v>
      </c>
      <c r="C184" s="9"/>
      <c r="D184" s="9"/>
    </row>
    <row r="186" spans="1:11" x14ac:dyDescent="0.3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 t="s">
        <v>5</v>
      </c>
      <c r="G186" s="1" t="s">
        <v>6</v>
      </c>
      <c r="H186" s="1" t="s">
        <v>7</v>
      </c>
      <c r="I186" s="1" t="s">
        <v>8</v>
      </c>
    </row>
    <row r="187" spans="1:11" x14ac:dyDescent="0.3">
      <c r="A187" s="7">
        <v>1001</v>
      </c>
      <c r="B187" s="8">
        <v>45296</v>
      </c>
      <c r="C187" s="7" t="s">
        <v>9</v>
      </c>
      <c r="D187" s="7" t="s">
        <v>10</v>
      </c>
      <c r="E187" s="7" t="s">
        <v>11</v>
      </c>
      <c r="F187" s="7" t="s">
        <v>12</v>
      </c>
      <c r="G187" s="7">
        <v>2</v>
      </c>
      <c r="H187" s="7">
        <v>50000</v>
      </c>
      <c r="I187" s="7">
        <v>100000</v>
      </c>
      <c r="K187" s="6" t="s">
        <v>50</v>
      </c>
    </row>
    <row r="188" spans="1:11" x14ac:dyDescent="0.3">
      <c r="A188" s="2">
        <v>1002</v>
      </c>
      <c r="B188" s="3">
        <v>45299</v>
      </c>
      <c r="C188" s="2" t="s">
        <v>13</v>
      </c>
      <c r="D188" s="2" t="s">
        <v>14</v>
      </c>
      <c r="E188" s="2" t="s">
        <v>15</v>
      </c>
      <c r="F188" s="2" t="s">
        <v>12</v>
      </c>
      <c r="G188" s="2">
        <v>5</v>
      </c>
      <c r="H188" s="2">
        <v>20000</v>
      </c>
      <c r="I188" s="2">
        <v>100000</v>
      </c>
      <c r="K188" s="10">
        <f>COUNTIFS(F187:F196,"Electronics",G187:G196,"&gt;3")</f>
        <v>3</v>
      </c>
    </row>
    <row r="189" spans="1:11" x14ac:dyDescent="0.3">
      <c r="A189" s="2">
        <v>1003</v>
      </c>
      <c r="B189" s="3">
        <v>45303</v>
      </c>
      <c r="C189" s="2" t="s">
        <v>16</v>
      </c>
      <c r="D189" s="2" t="s">
        <v>17</v>
      </c>
      <c r="E189" s="2" t="s">
        <v>18</v>
      </c>
      <c r="F189" s="2" t="s">
        <v>19</v>
      </c>
      <c r="G189" s="2">
        <v>10</v>
      </c>
      <c r="H189" s="2">
        <v>3000</v>
      </c>
      <c r="I189" s="2">
        <v>30000</v>
      </c>
    </row>
    <row r="190" spans="1:11" x14ac:dyDescent="0.3">
      <c r="A190" s="2">
        <v>1004</v>
      </c>
      <c r="B190" s="3">
        <v>45306</v>
      </c>
      <c r="C190" s="2" t="s">
        <v>20</v>
      </c>
      <c r="D190" s="2" t="s">
        <v>21</v>
      </c>
      <c r="E190" s="2" t="s">
        <v>22</v>
      </c>
      <c r="F190" s="2" t="s">
        <v>19</v>
      </c>
      <c r="G190" s="2">
        <v>3</v>
      </c>
      <c r="H190" s="2">
        <v>7000</v>
      </c>
      <c r="I190" s="2">
        <v>21000</v>
      </c>
    </row>
    <row r="191" spans="1:11" x14ac:dyDescent="0.3">
      <c r="A191" s="2">
        <v>1005</v>
      </c>
      <c r="B191" s="3">
        <v>45309</v>
      </c>
      <c r="C191" s="2" t="s">
        <v>9</v>
      </c>
      <c r="D191" s="2" t="s">
        <v>10</v>
      </c>
      <c r="E191" s="2" t="s">
        <v>15</v>
      </c>
      <c r="F191" s="2" t="s">
        <v>12</v>
      </c>
      <c r="G191" s="2">
        <v>4</v>
      </c>
      <c r="H191" s="2">
        <v>20000</v>
      </c>
      <c r="I191" s="2">
        <v>80000</v>
      </c>
    </row>
    <row r="192" spans="1:11" x14ac:dyDescent="0.3">
      <c r="A192" s="2">
        <v>1006</v>
      </c>
      <c r="B192" s="3">
        <v>45311</v>
      </c>
      <c r="C192" s="2" t="s">
        <v>13</v>
      </c>
      <c r="D192" s="2" t="s">
        <v>14</v>
      </c>
      <c r="E192" s="2" t="s">
        <v>11</v>
      </c>
      <c r="F192" s="2" t="s">
        <v>12</v>
      </c>
      <c r="G192" s="2">
        <v>1</v>
      </c>
      <c r="H192" s="2">
        <v>50000</v>
      </c>
      <c r="I192" s="2">
        <v>50000</v>
      </c>
    </row>
    <row r="193" spans="1:9" x14ac:dyDescent="0.3">
      <c r="A193" s="2">
        <v>1007</v>
      </c>
      <c r="B193" s="3">
        <v>45316</v>
      </c>
      <c r="C193" s="2" t="s">
        <v>16</v>
      </c>
      <c r="D193" s="2" t="s">
        <v>17</v>
      </c>
      <c r="E193" s="2" t="s">
        <v>23</v>
      </c>
      <c r="F193" s="2" t="s">
        <v>19</v>
      </c>
      <c r="G193" s="2">
        <v>2</v>
      </c>
      <c r="H193" s="2">
        <v>10000</v>
      </c>
      <c r="I193" s="2">
        <v>20000</v>
      </c>
    </row>
    <row r="194" spans="1:9" x14ac:dyDescent="0.3">
      <c r="A194" s="2">
        <v>1008</v>
      </c>
      <c r="B194" s="3">
        <v>45319</v>
      </c>
      <c r="C194" s="2" t="s">
        <v>20</v>
      </c>
      <c r="D194" s="2" t="s">
        <v>21</v>
      </c>
      <c r="E194" s="2" t="s">
        <v>15</v>
      </c>
      <c r="F194" s="2" t="s">
        <v>12</v>
      </c>
      <c r="G194" s="2">
        <v>6</v>
      </c>
      <c r="H194" s="2">
        <v>20000</v>
      </c>
      <c r="I194" s="2">
        <v>120000</v>
      </c>
    </row>
    <row r="195" spans="1:9" x14ac:dyDescent="0.3">
      <c r="A195" s="2">
        <v>1009</v>
      </c>
      <c r="B195" s="3">
        <v>45324</v>
      </c>
      <c r="C195" s="2" t="s">
        <v>9</v>
      </c>
      <c r="D195" s="2" t="s">
        <v>10</v>
      </c>
      <c r="E195" s="2" t="s">
        <v>22</v>
      </c>
      <c r="F195" s="2" t="s">
        <v>19</v>
      </c>
      <c r="G195" s="2">
        <v>5</v>
      </c>
      <c r="H195" s="2">
        <v>7000</v>
      </c>
      <c r="I195" s="2">
        <v>35000</v>
      </c>
    </row>
    <row r="196" spans="1:9" x14ac:dyDescent="0.3">
      <c r="A196" s="2">
        <v>1010</v>
      </c>
      <c r="B196" s="3">
        <v>45327</v>
      </c>
      <c r="C196" s="2" t="s">
        <v>13</v>
      </c>
      <c r="D196" s="2" t="s">
        <v>14</v>
      </c>
      <c r="E196" s="2" t="s">
        <v>18</v>
      </c>
      <c r="F196" s="2" t="s">
        <v>19</v>
      </c>
      <c r="G196" s="2">
        <v>7</v>
      </c>
      <c r="H196" s="2">
        <v>3000</v>
      </c>
      <c r="I196" s="2">
        <v>21000</v>
      </c>
    </row>
  </sheetData>
  <conditionalFormatting sqref="I157:I166">
    <cfRule type="cellIs" dxfId="4" priority="3" operator="greaterThan">
      <formula>100000</formula>
    </cfRule>
    <cfRule type="cellIs" dxfId="3" priority="2" operator="greaterThan">
      <formula>100000</formula>
    </cfRule>
  </conditionalFormatting>
  <conditionalFormatting sqref="G171:G180">
    <cfRule type="cellIs" dxfId="0" priority="1" operator="less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 Task</vt:lpstr>
      <vt:lpstr>Sort 1</vt:lpstr>
      <vt:lpstr>Filter 2</vt:lpstr>
      <vt:lpstr>Filter 3</vt:lpstr>
      <vt:lpstr>Q4 - Q16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Annwesha Kundu</cp:lastModifiedBy>
  <dcterms:created xsi:type="dcterms:W3CDTF">2026-03-04T02:35:16Z</dcterms:created>
  <dcterms:modified xsi:type="dcterms:W3CDTF">2026-03-04T06:32:37Z</dcterms:modified>
</cp:coreProperties>
</file>