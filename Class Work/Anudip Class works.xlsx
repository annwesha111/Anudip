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B4F2A79-F76A-40B1-A202-B52D1D08EBC2}" xr6:coauthVersionLast="47" xr6:coauthVersionMax="47" xr10:uidLastSave="{00000000-0000-0000-0000-000000000000}"/>
  <bookViews>
    <workbookView xWindow="-108" yWindow="-108" windowWidth="23256" windowHeight="12456" activeTab="2" xr2:uid="{2CE48592-67DA-4AFC-90C2-FAB71330BA3E}"/>
  </bookViews>
  <sheets>
    <sheet name="Classwork 1" sheetId="1" r:id="rId1"/>
    <sheet name="Classwork 2" sheetId="2" r:id="rId2"/>
    <sheet name="ClassWork 3" sheetId="3" r:id="rId3"/>
  </sheets>
  <definedNames>
    <definedName name="_xlnm._FilterDatabase" localSheetId="0" hidden="1">'Classwork 1'!$B$1:$B$501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73" i="3" l="1"/>
  <c r="Q373" i="3" a="1"/>
  <c r="Q373" i="3" s="1"/>
  <c r="O373" i="3"/>
  <c r="P373" i="3" s="1"/>
  <c r="R372" i="3"/>
  <c r="Q372" i="3" a="1"/>
  <c r="Q372" i="3" s="1"/>
  <c r="O372" i="3"/>
  <c r="P372" i="3" s="1"/>
  <c r="R371" i="3"/>
  <c r="Q371" i="3" a="1"/>
  <c r="Q371" i="3" s="1"/>
  <c r="O371" i="3"/>
  <c r="P371" i="3" s="1"/>
  <c r="R370" i="3"/>
  <c r="Q370" i="3" a="1"/>
  <c r="Q370" i="3" s="1"/>
  <c r="O370" i="3"/>
  <c r="P370" i="3" s="1"/>
  <c r="R369" i="3"/>
  <c r="Q369" i="3" a="1"/>
  <c r="Q369" i="3" s="1"/>
  <c r="O369" i="3"/>
  <c r="P369" i="3" s="1"/>
  <c r="R368" i="3"/>
  <c r="Q368" i="3" a="1"/>
  <c r="Q368" i="3" s="1"/>
  <c r="O368" i="3"/>
  <c r="P368" i="3" s="1"/>
  <c r="R367" i="3"/>
  <c r="Q367" i="3" a="1"/>
  <c r="Q367" i="3" s="1"/>
  <c r="P367" i="3"/>
  <c r="O367" i="3"/>
  <c r="R366" i="3"/>
  <c r="Q366" i="3" a="1"/>
  <c r="Q366" i="3" s="1"/>
  <c r="O366" i="3"/>
  <c r="P366" i="3" s="1"/>
  <c r="R365" i="3"/>
  <c r="Q365" i="3" a="1"/>
  <c r="Q365" i="3" s="1"/>
  <c r="O365" i="3"/>
  <c r="P365" i="3" s="1"/>
  <c r="R364" i="3"/>
  <c r="Q364" i="3" a="1"/>
  <c r="Q364" i="3" s="1"/>
  <c r="O364" i="3"/>
  <c r="P364" i="3" s="1"/>
  <c r="R363" i="3"/>
  <c r="Q363" i="3" a="1"/>
  <c r="Q363" i="3" s="1"/>
  <c r="O363" i="3"/>
  <c r="P363" i="3" s="1"/>
  <c r="R362" i="3"/>
  <c r="Q362" i="3" a="1"/>
  <c r="Q362" i="3" s="1"/>
  <c r="O362" i="3"/>
  <c r="P362" i="3" s="1"/>
  <c r="R361" i="3"/>
  <c r="Q361" i="3" a="1"/>
  <c r="Q361" i="3" s="1"/>
  <c r="O361" i="3"/>
  <c r="P361" i="3" s="1"/>
  <c r="R360" i="3"/>
  <c r="Q360" i="3" a="1"/>
  <c r="Q360" i="3" s="1"/>
  <c r="O360" i="3"/>
  <c r="P360" i="3" s="1"/>
  <c r="R359" i="3"/>
  <c r="Q359" i="3" a="1"/>
  <c r="Q359" i="3" s="1"/>
  <c r="O359" i="3"/>
  <c r="P359" i="3" s="1"/>
  <c r="R358" i="3"/>
  <c r="Q358" i="3" a="1"/>
  <c r="Q358" i="3" s="1"/>
  <c r="O358" i="3"/>
  <c r="P358" i="3" s="1"/>
  <c r="R357" i="3"/>
  <c r="Q357" i="3" a="1"/>
  <c r="Q357" i="3" s="1"/>
  <c r="O357" i="3"/>
  <c r="P357" i="3" s="1"/>
  <c r="R356" i="3"/>
  <c r="Q356" i="3" a="1"/>
  <c r="Q356" i="3" s="1"/>
  <c r="O356" i="3"/>
  <c r="P356" i="3" s="1"/>
  <c r="R355" i="3"/>
  <c r="Q355" i="3" a="1"/>
  <c r="Q355" i="3" s="1"/>
  <c r="O355" i="3"/>
  <c r="P355" i="3" s="1"/>
  <c r="R354" i="3"/>
  <c r="Q354" i="3" a="1"/>
  <c r="Q354" i="3" s="1"/>
  <c r="O354" i="3"/>
  <c r="P354" i="3" s="1"/>
  <c r="R353" i="3"/>
  <c r="Q353" i="3" a="1"/>
  <c r="Q353" i="3" s="1"/>
  <c r="O353" i="3"/>
  <c r="P353" i="3" s="1"/>
  <c r="R352" i="3"/>
  <c r="Q352" i="3" a="1"/>
  <c r="Q352" i="3" s="1"/>
  <c r="O352" i="3"/>
  <c r="P352" i="3" s="1"/>
  <c r="R351" i="3"/>
  <c r="Q351" i="3" a="1"/>
  <c r="Q351" i="3" s="1"/>
  <c r="O351" i="3"/>
  <c r="P351" i="3" s="1"/>
  <c r="R350" i="3"/>
  <c r="Q350" i="3" a="1"/>
  <c r="Q350" i="3" s="1"/>
  <c r="O350" i="3"/>
  <c r="P350" i="3" s="1"/>
  <c r="R349" i="3"/>
  <c r="Q349" i="3" a="1"/>
  <c r="Q349" i="3" s="1"/>
  <c r="O349" i="3"/>
  <c r="P349" i="3" s="1"/>
  <c r="R348" i="3"/>
  <c r="Q348" i="3" a="1"/>
  <c r="Q348" i="3" s="1"/>
  <c r="O348" i="3"/>
  <c r="P348" i="3" s="1"/>
  <c r="R347" i="3"/>
  <c r="Q347" i="3" a="1"/>
  <c r="Q347" i="3" s="1"/>
  <c r="O347" i="3"/>
  <c r="P347" i="3" s="1"/>
  <c r="R346" i="3"/>
  <c r="Q346" i="3" a="1"/>
  <c r="Q346" i="3" s="1"/>
  <c r="O346" i="3"/>
  <c r="P346" i="3" s="1"/>
  <c r="R345" i="3"/>
  <c r="Q345" i="3" a="1"/>
  <c r="Q345" i="3" s="1"/>
  <c r="O345" i="3"/>
  <c r="P345" i="3" s="1"/>
  <c r="R344" i="3"/>
  <c r="Q344" i="3" a="1"/>
  <c r="Q344" i="3" s="1"/>
  <c r="O344" i="3"/>
  <c r="P344" i="3" s="1"/>
  <c r="R343" i="3"/>
  <c r="Q343" i="3" a="1"/>
  <c r="Q343" i="3" s="1"/>
  <c r="O343" i="3"/>
  <c r="P343" i="3" s="1"/>
  <c r="R342" i="3"/>
  <c r="Q342" i="3" a="1"/>
  <c r="Q342" i="3" s="1"/>
  <c r="O342" i="3"/>
  <c r="P342" i="3" s="1"/>
  <c r="R341" i="3"/>
  <c r="Q341" i="3" a="1"/>
  <c r="Q341" i="3" s="1"/>
  <c r="O341" i="3"/>
  <c r="P341" i="3" s="1"/>
  <c r="R340" i="3"/>
  <c r="Q340" i="3" a="1"/>
  <c r="Q340" i="3" s="1"/>
  <c r="O340" i="3"/>
  <c r="P340" i="3" s="1"/>
  <c r="R339" i="3"/>
  <c r="Q339" i="3" a="1"/>
  <c r="Q339" i="3" s="1"/>
  <c r="O339" i="3"/>
  <c r="P339" i="3" s="1"/>
  <c r="R338" i="3"/>
  <c r="Q338" i="3" a="1"/>
  <c r="Q338" i="3" s="1"/>
  <c r="O338" i="3"/>
  <c r="P338" i="3" s="1"/>
  <c r="R337" i="3"/>
  <c r="Q337" i="3" a="1"/>
  <c r="Q337" i="3" s="1"/>
  <c r="O337" i="3"/>
  <c r="P337" i="3" s="1"/>
  <c r="R336" i="3"/>
  <c r="Q336" i="3" a="1"/>
  <c r="Q336" i="3" s="1"/>
  <c r="O336" i="3"/>
  <c r="P336" i="3" s="1"/>
  <c r="R335" i="3"/>
  <c r="Q335" i="3" a="1"/>
  <c r="Q335" i="3" s="1"/>
  <c r="O335" i="3"/>
  <c r="P335" i="3" s="1"/>
  <c r="R334" i="3"/>
  <c r="Q334" i="3" a="1"/>
  <c r="Q334" i="3" s="1"/>
  <c r="O334" i="3"/>
  <c r="P334" i="3" s="1"/>
  <c r="R333" i="3"/>
  <c r="Q333" i="3" a="1"/>
  <c r="Q333" i="3" s="1"/>
  <c r="O333" i="3"/>
  <c r="P333" i="3" s="1"/>
  <c r="R332" i="3"/>
  <c r="Q332" i="3" a="1"/>
  <c r="Q332" i="3" s="1"/>
  <c r="O332" i="3"/>
  <c r="P332" i="3" s="1"/>
  <c r="R331" i="3"/>
  <c r="Q331" i="3" a="1"/>
  <c r="Q331" i="3" s="1"/>
  <c r="O331" i="3"/>
  <c r="P331" i="3" s="1"/>
  <c r="R330" i="3"/>
  <c r="Q330" i="3" a="1"/>
  <c r="Q330" i="3" s="1"/>
  <c r="O330" i="3"/>
  <c r="P330" i="3" s="1"/>
  <c r="R329" i="3"/>
  <c r="Q329" i="3" a="1"/>
  <c r="Q329" i="3" s="1"/>
  <c r="O329" i="3"/>
  <c r="P329" i="3" s="1"/>
  <c r="R328" i="3"/>
  <c r="Q328" i="3" a="1"/>
  <c r="Q328" i="3" s="1"/>
  <c r="O328" i="3"/>
  <c r="P328" i="3" s="1"/>
  <c r="R327" i="3"/>
  <c r="Q327" i="3" a="1"/>
  <c r="Q327" i="3" s="1"/>
  <c r="O327" i="3"/>
  <c r="P327" i="3" s="1"/>
  <c r="R326" i="3"/>
  <c r="Q326" i="3" a="1"/>
  <c r="Q326" i="3" s="1"/>
  <c r="O326" i="3"/>
  <c r="P326" i="3" s="1"/>
  <c r="R325" i="3"/>
  <c r="Q325" i="3" a="1"/>
  <c r="Q325" i="3" s="1"/>
  <c r="O325" i="3"/>
  <c r="P325" i="3" s="1"/>
  <c r="R324" i="3"/>
  <c r="Q324" i="3" a="1"/>
  <c r="Q324" i="3" s="1"/>
  <c r="O324" i="3"/>
  <c r="P324" i="3" s="1"/>
  <c r="R323" i="3"/>
  <c r="Q323" i="3" a="1"/>
  <c r="Q323" i="3" s="1"/>
  <c r="O323" i="3"/>
  <c r="P323" i="3" s="1"/>
  <c r="R322" i="3"/>
  <c r="Q322" i="3" a="1"/>
  <c r="Q322" i="3" s="1"/>
  <c r="O322" i="3"/>
  <c r="P322" i="3" s="1"/>
  <c r="R321" i="3"/>
  <c r="Q321" i="3" a="1"/>
  <c r="Q321" i="3" s="1"/>
  <c r="O321" i="3"/>
  <c r="P321" i="3" s="1"/>
  <c r="R320" i="3"/>
  <c r="Q320" i="3" a="1"/>
  <c r="Q320" i="3" s="1"/>
  <c r="O320" i="3"/>
  <c r="P320" i="3" s="1"/>
  <c r="R319" i="3"/>
  <c r="Q319" i="3" a="1"/>
  <c r="Q319" i="3" s="1"/>
  <c r="O319" i="3"/>
  <c r="P319" i="3" s="1"/>
  <c r="R318" i="3"/>
  <c r="Q318" i="3" a="1"/>
  <c r="Q318" i="3" s="1"/>
  <c r="O318" i="3"/>
  <c r="P318" i="3" s="1"/>
  <c r="R317" i="3"/>
  <c r="Q317" i="3" a="1"/>
  <c r="Q317" i="3" s="1"/>
  <c r="O317" i="3"/>
  <c r="P317" i="3" s="1"/>
  <c r="R316" i="3"/>
  <c r="Q316" i="3" a="1"/>
  <c r="Q316" i="3" s="1"/>
  <c r="O316" i="3"/>
  <c r="P316" i="3" s="1"/>
  <c r="R315" i="3"/>
  <c r="Q315" i="3" a="1"/>
  <c r="Q315" i="3" s="1"/>
  <c r="O315" i="3"/>
  <c r="P315" i="3" s="1"/>
  <c r="R314" i="3"/>
  <c r="Q314" i="3" a="1"/>
  <c r="Q314" i="3" s="1"/>
  <c r="O314" i="3"/>
  <c r="P314" i="3" s="1"/>
  <c r="R313" i="3"/>
  <c r="Q313" i="3" a="1"/>
  <c r="Q313" i="3" s="1"/>
  <c r="O313" i="3"/>
  <c r="P313" i="3" s="1"/>
  <c r="R312" i="3"/>
  <c r="Q312" i="3" a="1"/>
  <c r="Q312" i="3" s="1"/>
  <c r="O312" i="3"/>
  <c r="P312" i="3" s="1"/>
  <c r="R311" i="3"/>
  <c r="Q311" i="3" a="1"/>
  <c r="Q311" i="3" s="1"/>
  <c r="O311" i="3"/>
  <c r="P311" i="3" s="1"/>
  <c r="R310" i="3"/>
  <c r="Q310" i="3" a="1"/>
  <c r="Q310" i="3" s="1"/>
  <c r="O310" i="3"/>
  <c r="P310" i="3" s="1"/>
  <c r="R309" i="3"/>
  <c r="Q309" i="3" a="1"/>
  <c r="Q309" i="3" s="1"/>
  <c r="O309" i="3"/>
  <c r="P309" i="3" s="1"/>
  <c r="R308" i="3"/>
  <c r="Q308" i="3" a="1"/>
  <c r="Q308" i="3" s="1"/>
  <c r="O308" i="3"/>
  <c r="P308" i="3" s="1"/>
  <c r="R307" i="3"/>
  <c r="Q307" i="3" a="1"/>
  <c r="Q307" i="3" s="1"/>
  <c r="O307" i="3"/>
  <c r="P307" i="3" s="1"/>
  <c r="R306" i="3"/>
  <c r="Q306" i="3" a="1"/>
  <c r="Q306" i="3" s="1"/>
  <c r="O306" i="3"/>
  <c r="P306" i="3" s="1"/>
  <c r="R305" i="3"/>
  <c r="Q305" i="3" a="1"/>
  <c r="Q305" i="3" s="1"/>
  <c r="O305" i="3"/>
  <c r="P305" i="3" s="1"/>
  <c r="R304" i="3"/>
  <c r="Q304" i="3" a="1"/>
  <c r="Q304" i="3" s="1"/>
  <c r="O304" i="3"/>
  <c r="P304" i="3" s="1"/>
  <c r="R303" i="3"/>
  <c r="Q303" i="3" a="1"/>
  <c r="Q303" i="3" s="1"/>
  <c r="O303" i="3"/>
  <c r="P303" i="3" s="1"/>
  <c r="R302" i="3"/>
  <c r="Q302" i="3" a="1"/>
  <c r="Q302" i="3" s="1"/>
  <c r="O302" i="3"/>
  <c r="P302" i="3" s="1"/>
  <c r="R301" i="3"/>
  <c r="Q301" i="3" a="1"/>
  <c r="Q301" i="3" s="1"/>
  <c r="O301" i="3"/>
  <c r="P301" i="3" s="1"/>
  <c r="R300" i="3"/>
  <c r="Q300" i="3" a="1"/>
  <c r="Q300" i="3" s="1"/>
  <c r="O300" i="3"/>
  <c r="P300" i="3" s="1"/>
  <c r="R299" i="3"/>
  <c r="Q299" i="3" a="1"/>
  <c r="Q299" i="3" s="1"/>
  <c r="O299" i="3"/>
  <c r="P299" i="3" s="1"/>
  <c r="R298" i="3"/>
  <c r="Q298" i="3" a="1"/>
  <c r="Q298" i="3" s="1"/>
  <c r="O298" i="3"/>
  <c r="P298" i="3" s="1"/>
  <c r="R297" i="3"/>
  <c r="Q297" i="3" a="1"/>
  <c r="Q297" i="3" s="1"/>
  <c r="O297" i="3"/>
  <c r="P297" i="3" s="1"/>
  <c r="R296" i="3"/>
  <c r="Q296" i="3" a="1"/>
  <c r="Q296" i="3" s="1"/>
  <c r="O296" i="3"/>
  <c r="P296" i="3" s="1"/>
  <c r="R295" i="3"/>
  <c r="Q295" i="3" a="1"/>
  <c r="Q295" i="3" s="1"/>
  <c r="O295" i="3"/>
  <c r="P295" i="3" s="1"/>
  <c r="R294" i="3"/>
  <c r="Q294" i="3" a="1"/>
  <c r="Q294" i="3" s="1"/>
  <c r="O294" i="3"/>
  <c r="P294" i="3" s="1"/>
  <c r="R293" i="3"/>
  <c r="Q293" i="3" a="1"/>
  <c r="Q293" i="3" s="1"/>
  <c r="O293" i="3"/>
  <c r="P293" i="3" s="1"/>
  <c r="R292" i="3"/>
  <c r="Q292" i="3" a="1"/>
  <c r="Q292" i="3" s="1"/>
  <c r="O292" i="3"/>
  <c r="P292" i="3" s="1"/>
  <c r="R291" i="3"/>
  <c r="Q291" i="3" a="1"/>
  <c r="Q291" i="3" s="1"/>
  <c r="O291" i="3"/>
  <c r="P291" i="3" s="1"/>
  <c r="R290" i="3"/>
  <c r="Q290" i="3" a="1"/>
  <c r="Q290" i="3" s="1"/>
  <c r="O290" i="3"/>
  <c r="P290" i="3" s="1"/>
  <c r="R289" i="3"/>
  <c r="Q289" i="3" a="1"/>
  <c r="Q289" i="3" s="1"/>
  <c r="O289" i="3"/>
  <c r="P289" i="3" s="1"/>
  <c r="R288" i="3"/>
  <c r="Q288" i="3" a="1"/>
  <c r="Q288" i="3" s="1"/>
  <c r="O288" i="3"/>
  <c r="P288" i="3" s="1"/>
  <c r="R287" i="3"/>
  <c r="Q287" i="3" a="1"/>
  <c r="Q287" i="3" s="1"/>
  <c r="O287" i="3"/>
  <c r="P287" i="3" s="1"/>
  <c r="R286" i="3"/>
  <c r="Q286" i="3" a="1"/>
  <c r="Q286" i="3" s="1"/>
  <c r="O286" i="3"/>
  <c r="P286" i="3" s="1"/>
  <c r="R285" i="3"/>
  <c r="Q285" i="3" a="1"/>
  <c r="Q285" i="3" s="1"/>
  <c r="O285" i="3"/>
  <c r="P285" i="3" s="1"/>
  <c r="R284" i="3"/>
  <c r="Q284" i="3" a="1"/>
  <c r="Q284" i="3" s="1"/>
  <c r="O284" i="3"/>
  <c r="P284" i="3" s="1"/>
  <c r="R283" i="3"/>
  <c r="Q283" i="3" a="1"/>
  <c r="Q283" i="3" s="1"/>
  <c r="O283" i="3"/>
  <c r="P283" i="3" s="1"/>
  <c r="R282" i="3"/>
  <c r="Q282" i="3" a="1"/>
  <c r="Q282" i="3" s="1"/>
  <c r="O282" i="3"/>
  <c r="P282" i="3" s="1"/>
  <c r="R281" i="3"/>
  <c r="Q281" i="3" a="1"/>
  <c r="Q281" i="3" s="1"/>
  <c r="O281" i="3"/>
  <c r="P281" i="3" s="1"/>
  <c r="R280" i="3"/>
  <c r="Q280" i="3" a="1"/>
  <c r="Q280" i="3" s="1"/>
  <c r="P280" i="3"/>
  <c r="O280" i="3"/>
  <c r="R279" i="3"/>
  <c r="Q279" i="3" a="1"/>
  <c r="Q279" i="3" s="1"/>
  <c r="O279" i="3"/>
  <c r="P279" i="3" s="1"/>
  <c r="R278" i="3"/>
  <c r="Q278" i="3" a="1"/>
  <c r="Q278" i="3" s="1"/>
  <c r="O278" i="3"/>
  <c r="P278" i="3" s="1"/>
  <c r="R277" i="3"/>
  <c r="Q277" i="3" a="1"/>
  <c r="Q277" i="3" s="1"/>
  <c r="O277" i="3"/>
  <c r="P277" i="3" s="1"/>
  <c r="R276" i="3"/>
  <c r="Q276" i="3" a="1"/>
  <c r="Q276" i="3" s="1"/>
  <c r="O276" i="3"/>
  <c r="P276" i="3" s="1"/>
  <c r="R275" i="3"/>
  <c r="Q275" i="3" a="1"/>
  <c r="Q275" i="3" s="1"/>
  <c r="O275" i="3"/>
  <c r="P275" i="3" s="1"/>
  <c r="R274" i="3"/>
  <c r="Q274" i="3" a="1"/>
  <c r="Q274" i="3" s="1"/>
  <c r="O274" i="3"/>
  <c r="P274" i="3" s="1"/>
  <c r="R273" i="3"/>
  <c r="Q273" i="3" a="1"/>
  <c r="Q273" i="3" s="1"/>
  <c r="O273" i="3"/>
  <c r="P273" i="3" s="1"/>
  <c r="R272" i="3"/>
  <c r="Q272" i="3" a="1"/>
  <c r="Q272" i="3" s="1"/>
  <c r="O272" i="3"/>
  <c r="P272" i="3" s="1"/>
  <c r="R271" i="3"/>
  <c r="Q271" i="3" a="1"/>
  <c r="Q271" i="3" s="1"/>
  <c r="O271" i="3"/>
  <c r="P271" i="3" s="1"/>
  <c r="R270" i="3"/>
  <c r="Q270" i="3" a="1"/>
  <c r="Q270" i="3" s="1"/>
  <c r="O270" i="3"/>
  <c r="P270" i="3" s="1"/>
  <c r="R269" i="3"/>
  <c r="Q269" i="3" a="1"/>
  <c r="Q269" i="3" s="1"/>
  <c r="O269" i="3"/>
  <c r="P269" i="3" s="1"/>
  <c r="R268" i="3"/>
  <c r="Q268" i="3" a="1"/>
  <c r="Q268" i="3" s="1"/>
  <c r="O268" i="3"/>
  <c r="P268" i="3" s="1"/>
  <c r="R267" i="3"/>
  <c r="Q267" i="3" a="1"/>
  <c r="Q267" i="3" s="1"/>
  <c r="O267" i="3"/>
  <c r="P267" i="3" s="1"/>
  <c r="R266" i="3"/>
  <c r="Q266" i="3" a="1"/>
  <c r="Q266" i="3" s="1"/>
  <c r="O266" i="3"/>
  <c r="P266" i="3" s="1"/>
  <c r="R265" i="3"/>
  <c r="Q265" i="3" a="1"/>
  <c r="Q265" i="3" s="1"/>
  <c r="O265" i="3"/>
  <c r="P265" i="3" s="1"/>
  <c r="R264" i="3"/>
  <c r="Q264" i="3" a="1"/>
  <c r="Q264" i="3" s="1"/>
  <c r="O264" i="3"/>
  <c r="P264" i="3" s="1"/>
  <c r="R263" i="3"/>
  <c r="Q263" i="3" a="1"/>
  <c r="Q263" i="3" s="1"/>
  <c r="O263" i="3"/>
  <c r="P263" i="3" s="1"/>
  <c r="R262" i="3"/>
  <c r="Q262" i="3" a="1"/>
  <c r="Q262" i="3" s="1"/>
  <c r="O262" i="3"/>
  <c r="P262" i="3" s="1"/>
  <c r="R261" i="3"/>
  <c r="Q261" i="3" a="1"/>
  <c r="Q261" i="3" s="1"/>
  <c r="O261" i="3"/>
  <c r="P261" i="3" s="1"/>
  <c r="R260" i="3"/>
  <c r="Q260" i="3" a="1"/>
  <c r="Q260" i="3" s="1"/>
  <c r="O260" i="3"/>
  <c r="P260" i="3" s="1"/>
  <c r="R259" i="3"/>
  <c r="Q259" i="3" a="1"/>
  <c r="Q259" i="3" s="1"/>
  <c r="O259" i="3"/>
  <c r="P259" i="3" s="1"/>
  <c r="R258" i="3"/>
  <c r="Q258" i="3" a="1"/>
  <c r="Q258" i="3" s="1"/>
  <c r="O258" i="3"/>
  <c r="P258" i="3" s="1"/>
  <c r="R257" i="3"/>
  <c r="Q257" i="3" a="1"/>
  <c r="Q257" i="3" s="1"/>
  <c r="O257" i="3"/>
  <c r="P257" i="3" s="1"/>
  <c r="R256" i="3"/>
  <c r="Q256" i="3" a="1"/>
  <c r="Q256" i="3" s="1"/>
  <c r="O256" i="3"/>
  <c r="P256" i="3" s="1"/>
  <c r="R255" i="3"/>
  <c r="Q255" i="3" a="1"/>
  <c r="Q255" i="3" s="1"/>
  <c r="O255" i="3"/>
  <c r="P255" i="3" s="1"/>
  <c r="R254" i="3"/>
  <c r="Q254" i="3" a="1"/>
  <c r="Q254" i="3" s="1"/>
  <c r="O254" i="3"/>
  <c r="P254" i="3" s="1"/>
  <c r="R253" i="3"/>
  <c r="Q253" i="3" a="1"/>
  <c r="Q253" i="3" s="1"/>
  <c r="O253" i="3"/>
  <c r="P253" i="3" s="1"/>
  <c r="R252" i="3"/>
  <c r="Q252" i="3" a="1"/>
  <c r="Q252" i="3" s="1"/>
  <c r="O252" i="3"/>
  <c r="P252" i="3" s="1"/>
  <c r="R251" i="3"/>
  <c r="Q251" i="3" a="1"/>
  <c r="Q251" i="3" s="1"/>
  <c r="O251" i="3"/>
  <c r="P251" i="3" s="1"/>
  <c r="R250" i="3"/>
  <c r="Q250" i="3" a="1"/>
  <c r="Q250" i="3" s="1"/>
  <c r="O250" i="3"/>
  <c r="P250" i="3" s="1"/>
  <c r="R249" i="3"/>
  <c r="Q249" i="3" a="1"/>
  <c r="Q249" i="3" s="1"/>
  <c r="O249" i="3"/>
  <c r="P249" i="3" s="1"/>
  <c r="R248" i="3"/>
  <c r="Q248" i="3" a="1"/>
  <c r="Q248" i="3" s="1"/>
  <c r="O248" i="3"/>
  <c r="P248" i="3" s="1"/>
  <c r="R247" i="3"/>
  <c r="Q247" i="3" a="1"/>
  <c r="Q247" i="3" s="1"/>
  <c r="O247" i="3"/>
  <c r="P247" i="3" s="1"/>
  <c r="R246" i="3"/>
  <c r="Q246" i="3" a="1"/>
  <c r="Q246" i="3" s="1"/>
  <c r="O246" i="3"/>
  <c r="P246" i="3" s="1"/>
  <c r="R245" i="3"/>
  <c r="Q245" i="3" a="1"/>
  <c r="Q245" i="3" s="1"/>
  <c r="O245" i="3"/>
  <c r="P245" i="3" s="1"/>
  <c r="R244" i="3"/>
  <c r="Q244" i="3" a="1"/>
  <c r="Q244" i="3" s="1"/>
  <c r="O244" i="3"/>
  <c r="P244" i="3" s="1"/>
  <c r="R243" i="3"/>
  <c r="Q243" i="3" a="1"/>
  <c r="Q243" i="3" s="1"/>
  <c r="O243" i="3"/>
  <c r="P243" i="3" s="1"/>
  <c r="R242" i="3"/>
  <c r="Q242" i="3" a="1"/>
  <c r="Q242" i="3" s="1"/>
  <c r="O242" i="3"/>
  <c r="P242" i="3" s="1"/>
  <c r="R241" i="3"/>
  <c r="Q241" i="3" a="1"/>
  <c r="Q241" i="3" s="1"/>
  <c r="O241" i="3"/>
  <c r="P241" i="3" s="1"/>
  <c r="R240" i="3"/>
  <c r="Q240" i="3" a="1"/>
  <c r="Q240" i="3" s="1"/>
  <c r="O240" i="3"/>
  <c r="P240" i="3" s="1"/>
  <c r="R239" i="3"/>
  <c r="Q239" i="3" a="1"/>
  <c r="Q239" i="3" s="1"/>
  <c r="O239" i="3"/>
  <c r="P239" i="3" s="1"/>
  <c r="R238" i="3"/>
  <c r="Q238" i="3" a="1"/>
  <c r="Q238" i="3" s="1"/>
  <c r="O238" i="3"/>
  <c r="P238" i="3" s="1"/>
  <c r="R237" i="3"/>
  <c r="Q237" i="3" a="1"/>
  <c r="Q237" i="3" s="1"/>
  <c r="O237" i="3"/>
  <c r="P237" i="3" s="1"/>
  <c r="R236" i="3"/>
  <c r="Q236" i="3" a="1"/>
  <c r="Q236" i="3" s="1"/>
  <c r="O236" i="3"/>
  <c r="P236" i="3" s="1"/>
  <c r="R235" i="3"/>
  <c r="Q235" i="3" a="1"/>
  <c r="Q235" i="3" s="1"/>
  <c r="O235" i="3"/>
  <c r="P235" i="3" s="1"/>
  <c r="R234" i="3"/>
  <c r="Q234" i="3" a="1"/>
  <c r="Q234" i="3" s="1"/>
  <c r="O234" i="3"/>
  <c r="P234" i="3" s="1"/>
  <c r="R233" i="3"/>
  <c r="Q233" i="3" a="1"/>
  <c r="Q233" i="3" s="1"/>
  <c r="O233" i="3"/>
  <c r="P233" i="3" s="1"/>
  <c r="R232" i="3"/>
  <c r="Q232" i="3" a="1"/>
  <c r="Q232" i="3" s="1"/>
  <c r="O232" i="3"/>
  <c r="P232" i="3" s="1"/>
  <c r="R231" i="3"/>
  <c r="Q231" i="3" a="1"/>
  <c r="Q231" i="3" s="1"/>
  <c r="O231" i="3"/>
  <c r="P231" i="3" s="1"/>
  <c r="R230" i="3"/>
  <c r="Q230" i="3" a="1"/>
  <c r="Q230" i="3" s="1"/>
  <c r="O230" i="3"/>
  <c r="P230" i="3" s="1"/>
  <c r="R229" i="3"/>
  <c r="Q229" i="3" a="1"/>
  <c r="Q229" i="3" s="1"/>
  <c r="O229" i="3"/>
  <c r="P229" i="3" s="1"/>
  <c r="R228" i="3"/>
  <c r="Q228" i="3" a="1"/>
  <c r="Q228" i="3" s="1"/>
  <c r="O228" i="3"/>
  <c r="P228" i="3" s="1"/>
  <c r="R227" i="3"/>
  <c r="Q227" i="3" a="1"/>
  <c r="Q227" i="3" s="1"/>
  <c r="O227" i="3"/>
  <c r="P227" i="3" s="1"/>
  <c r="R226" i="3"/>
  <c r="Q226" i="3" a="1"/>
  <c r="Q226" i="3" s="1"/>
  <c r="O226" i="3"/>
  <c r="P226" i="3" s="1"/>
  <c r="R225" i="3"/>
  <c r="Q225" i="3" a="1"/>
  <c r="Q225" i="3" s="1"/>
  <c r="O225" i="3"/>
  <c r="P225" i="3" s="1"/>
  <c r="R224" i="3"/>
  <c r="Q224" i="3" a="1"/>
  <c r="Q224" i="3" s="1"/>
  <c r="O224" i="3"/>
  <c r="P224" i="3" s="1"/>
  <c r="R223" i="3"/>
  <c r="Q223" i="3" a="1"/>
  <c r="Q223" i="3" s="1"/>
  <c r="O223" i="3"/>
  <c r="P223" i="3" s="1"/>
  <c r="R222" i="3"/>
  <c r="Q222" i="3" a="1"/>
  <c r="Q222" i="3" s="1"/>
  <c r="O222" i="3"/>
  <c r="P222" i="3" s="1"/>
  <c r="R221" i="3"/>
  <c r="Q221" i="3" a="1"/>
  <c r="Q221" i="3" s="1"/>
  <c r="O221" i="3"/>
  <c r="P221" i="3" s="1"/>
  <c r="R220" i="3"/>
  <c r="Q220" i="3" a="1"/>
  <c r="Q220" i="3" s="1"/>
  <c r="O220" i="3"/>
  <c r="P220" i="3" s="1"/>
  <c r="R219" i="3"/>
  <c r="Q219" i="3" a="1"/>
  <c r="Q219" i="3" s="1"/>
  <c r="O219" i="3"/>
  <c r="P219" i="3" s="1"/>
  <c r="R218" i="3"/>
  <c r="Q218" i="3" a="1"/>
  <c r="Q218" i="3" s="1"/>
  <c r="O218" i="3"/>
  <c r="P218" i="3" s="1"/>
  <c r="R217" i="3"/>
  <c r="Q217" i="3" a="1"/>
  <c r="Q217" i="3" s="1"/>
  <c r="O217" i="3"/>
  <c r="P217" i="3" s="1"/>
  <c r="R216" i="3"/>
  <c r="Q216" i="3" a="1"/>
  <c r="Q216" i="3" s="1"/>
  <c r="O216" i="3"/>
  <c r="P216" i="3" s="1"/>
  <c r="R215" i="3"/>
  <c r="Q215" i="3" a="1"/>
  <c r="Q215" i="3" s="1"/>
  <c r="O215" i="3"/>
  <c r="P215" i="3" s="1"/>
  <c r="R214" i="3"/>
  <c r="Q214" i="3" a="1"/>
  <c r="Q214" i="3" s="1"/>
  <c r="O214" i="3"/>
  <c r="P214" i="3" s="1"/>
  <c r="R213" i="3"/>
  <c r="Q213" i="3" a="1"/>
  <c r="Q213" i="3" s="1"/>
  <c r="O213" i="3"/>
  <c r="P213" i="3" s="1"/>
  <c r="R212" i="3"/>
  <c r="Q212" i="3" a="1"/>
  <c r="Q212" i="3" s="1"/>
  <c r="O212" i="3"/>
  <c r="P212" i="3" s="1"/>
  <c r="R211" i="3"/>
  <c r="Q211" i="3" a="1"/>
  <c r="Q211" i="3" s="1"/>
  <c r="O211" i="3"/>
  <c r="P211" i="3" s="1"/>
  <c r="R210" i="3"/>
  <c r="Q210" i="3" a="1"/>
  <c r="Q210" i="3" s="1"/>
  <c r="O210" i="3"/>
  <c r="P210" i="3" s="1"/>
  <c r="R209" i="3"/>
  <c r="Q209" i="3" a="1"/>
  <c r="Q209" i="3" s="1"/>
  <c r="O209" i="3"/>
  <c r="P209" i="3" s="1"/>
  <c r="R208" i="3"/>
  <c r="Q208" i="3" a="1"/>
  <c r="Q208" i="3" s="1"/>
  <c r="O208" i="3"/>
  <c r="P208" i="3" s="1"/>
  <c r="R207" i="3"/>
  <c r="Q207" i="3" a="1"/>
  <c r="Q207" i="3" s="1"/>
  <c r="O207" i="3"/>
  <c r="P207" i="3" s="1"/>
  <c r="R206" i="3"/>
  <c r="Q206" i="3" a="1"/>
  <c r="Q206" i="3" s="1"/>
  <c r="O206" i="3"/>
  <c r="P206" i="3" s="1"/>
  <c r="R205" i="3"/>
  <c r="Q205" i="3" a="1"/>
  <c r="Q205" i="3" s="1"/>
  <c r="O205" i="3"/>
  <c r="P205" i="3" s="1"/>
  <c r="R204" i="3"/>
  <c r="Q204" i="3" a="1"/>
  <c r="Q204" i="3" s="1"/>
  <c r="O204" i="3"/>
  <c r="P204" i="3" s="1"/>
  <c r="R203" i="3"/>
  <c r="Q203" i="3" a="1"/>
  <c r="Q203" i="3" s="1"/>
  <c r="O203" i="3"/>
  <c r="P203" i="3" s="1"/>
  <c r="R202" i="3"/>
  <c r="Q202" i="3" a="1"/>
  <c r="Q202" i="3" s="1"/>
  <c r="O202" i="3"/>
  <c r="P202" i="3" s="1"/>
  <c r="R201" i="3"/>
  <c r="Q201" i="3" a="1"/>
  <c r="Q201" i="3" s="1"/>
  <c r="O201" i="3"/>
  <c r="P201" i="3" s="1"/>
  <c r="R200" i="3"/>
  <c r="Q200" i="3" a="1"/>
  <c r="Q200" i="3" s="1"/>
  <c r="O200" i="3"/>
  <c r="P200" i="3" s="1"/>
  <c r="R199" i="3"/>
  <c r="Q199" i="3" a="1"/>
  <c r="Q199" i="3" s="1"/>
  <c r="O199" i="3"/>
  <c r="P199" i="3" s="1"/>
  <c r="R198" i="3"/>
  <c r="Q198" i="3" a="1"/>
  <c r="Q198" i="3" s="1"/>
  <c r="O198" i="3"/>
  <c r="P198" i="3" s="1"/>
  <c r="R197" i="3"/>
  <c r="Q197" i="3" a="1"/>
  <c r="Q197" i="3" s="1"/>
  <c r="O197" i="3"/>
  <c r="P197" i="3" s="1"/>
  <c r="R196" i="3"/>
  <c r="Q196" i="3" a="1"/>
  <c r="Q196" i="3" s="1"/>
  <c r="O196" i="3"/>
  <c r="P196" i="3" s="1"/>
  <c r="R195" i="3"/>
  <c r="Q195" i="3" a="1"/>
  <c r="Q195" i="3" s="1"/>
  <c r="O195" i="3"/>
  <c r="P195" i="3" s="1"/>
  <c r="R194" i="3"/>
  <c r="Q194" i="3" a="1"/>
  <c r="Q194" i="3" s="1"/>
  <c r="O194" i="3"/>
  <c r="P194" i="3" s="1"/>
  <c r="R193" i="3"/>
  <c r="Q193" i="3" a="1"/>
  <c r="Q193" i="3" s="1"/>
  <c r="O193" i="3"/>
  <c r="P193" i="3" s="1"/>
  <c r="R192" i="3"/>
  <c r="Q192" i="3" a="1"/>
  <c r="Q192" i="3" s="1"/>
  <c r="O192" i="3"/>
  <c r="P192" i="3" s="1"/>
  <c r="R191" i="3"/>
  <c r="Q191" i="3" a="1"/>
  <c r="Q191" i="3" s="1"/>
  <c r="O191" i="3"/>
  <c r="P191" i="3" s="1"/>
  <c r="R190" i="3"/>
  <c r="Q190" i="3" a="1"/>
  <c r="Q190" i="3" s="1"/>
  <c r="O190" i="3"/>
  <c r="P190" i="3" s="1"/>
  <c r="R189" i="3"/>
  <c r="Q189" i="3" a="1"/>
  <c r="Q189" i="3" s="1"/>
  <c r="O189" i="3"/>
  <c r="P189" i="3" s="1"/>
  <c r="R188" i="3"/>
  <c r="Q188" i="3" a="1"/>
  <c r="Q188" i="3" s="1"/>
  <c r="O188" i="3"/>
  <c r="P188" i="3" s="1"/>
  <c r="R187" i="3"/>
  <c r="Q187" i="3" a="1"/>
  <c r="Q187" i="3" s="1"/>
  <c r="O187" i="3"/>
  <c r="P187" i="3" s="1"/>
  <c r="R186" i="3"/>
  <c r="Q186" i="3" a="1"/>
  <c r="Q186" i="3" s="1"/>
  <c r="P186" i="3"/>
  <c r="O186" i="3"/>
  <c r="R185" i="3"/>
  <c r="Q185" i="3" a="1"/>
  <c r="Q185" i="3" s="1"/>
  <c r="O185" i="3"/>
  <c r="P185" i="3" s="1"/>
  <c r="R184" i="3"/>
  <c r="Q184" i="3" a="1"/>
  <c r="Q184" i="3" s="1"/>
  <c r="O184" i="3"/>
  <c r="P184" i="3" s="1"/>
  <c r="R183" i="3"/>
  <c r="Q183" i="3" a="1"/>
  <c r="Q183" i="3" s="1"/>
  <c r="O183" i="3"/>
  <c r="P183" i="3" s="1"/>
  <c r="R182" i="3"/>
  <c r="Q182" i="3" a="1"/>
  <c r="Q182" i="3" s="1"/>
  <c r="O182" i="3"/>
  <c r="P182" i="3" s="1"/>
  <c r="R181" i="3"/>
  <c r="Q181" i="3" a="1"/>
  <c r="Q181" i="3" s="1"/>
  <c r="O181" i="3"/>
  <c r="P181" i="3" s="1"/>
  <c r="R180" i="3"/>
  <c r="Q180" i="3" a="1"/>
  <c r="Q180" i="3" s="1"/>
  <c r="O180" i="3"/>
  <c r="P180" i="3" s="1"/>
  <c r="R179" i="3"/>
  <c r="Q179" i="3" a="1"/>
  <c r="Q179" i="3" s="1"/>
  <c r="O179" i="3"/>
  <c r="P179" i="3" s="1"/>
  <c r="R178" i="3"/>
  <c r="Q178" i="3" a="1"/>
  <c r="Q178" i="3" s="1"/>
  <c r="O178" i="3"/>
  <c r="P178" i="3" s="1"/>
  <c r="R177" i="3"/>
  <c r="Q177" i="3" a="1"/>
  <c r="Q177" i="3" s="1"/>
  <c r="O177" i="3"/>
  <c r="P177" i="3" s="1"/>
  <c r="R176" i="3"/>
  <c r="Q176" i="3" a="1"/>
  <c r="Q176" i="3" s="1"/>
  <c r="O176" i="3"/>
  <c r="P176" i="3" s="1"/>
  <c r="R175" i="3"/>
  <c r="Q175" i="3" a="1"/>
  <c r="Q175" i="3" s="1"/>
  <c r="O175" i="3"/>
  <c r="P175" i="3" s="1"/>
  <c r="R174" i="3"/>
  <c r="Q174" i="3" a="1"/>
  <c r="Q174" i="3" s="1"/>
  <c r="O174" i="3"/>
  <c r="P174" i="3" s="1"/>
  <c r="R173" i="3"/>
  <c r="Q173" i="3" a="1"/>
  <c r="Q173" i="3" s="1"/>
  <c r="O173" i="3"/>
  <c r="P173" i="3" s="1"/>
  <c r="R172" i="3"/>
  <c r="Q172" i="3" a="1"/>
  <c r="Q172" i="3" s="1"/>
  <c r="O172" i="3"/>
  <c r="P172" i="3" s="1"/>
  <c r="R171" i="3"/>
  <c r="Q171" i="3" a="1"/>
  <c r="Q171" i="3" s="1"/>
  <c r="O171" i="3"/>
  <c r="P171" i="3" s="1"/>
  <c r="R170" i="3"/>
  <c r="Q170" i="3" a="1"/>
  <c r="Q170" i="3" s="1"/>
  <c r="O170" i="3"/>
  <c r="P170" i="3" s="1"/>
  <c r="R169" i="3"/>
  <c r="Q169" i="3" a="1"/>
  <c r="Q169" i="3" s="1"/>
  <c r="O169" i="3"/>
  <c r="P169" i="3" s="1"/>
  <c r="R168" i="3"/>
  <c r="Q168" i="3" a="1"/>
  <c r="Q168" i="3" s="1"/>
  <c r="O168" i="3"/>
  <c r="P168" i="3" s="1"/>
  <c r="R167" i="3"/>
  <c r="Q167" i="3" a="1"/>
  <c r="Q167" i="3" s="1"/>
  <c r="O167" i="3"/>
  <c r="P167" i="3" s="1"/>
  <c r="R166" i="3"/>
  <c r="Q166" i="3" a="1"/>
  <c r="Q166" i="3" s="1"/>
  <c r="O166" i="3"/>
  <c r="P166" i="3" s="1"/>
  <c r="R165" i="3"/>
  <c r="Q165" i="3" a="1"/>
  <c r="Q165" i="3" s="1"/>
  <c r="O165" i="3"/>
  <c r="P165" i="3" s="1"/>
  <c r="R164" i="3"/>
  <c r="Q164" i="3" a="1"/>
  <c r="Q164" i="3" s="1"/>
  <c r="O164" i="3"/>
  <c r="P164" i="3" s="1"/>
  <c r="R163" i="3"/>
  <c r="Q163" i="3" a="1"/>
  <c r="Q163" i="3" s="1"/>
  <c r="O163" i="3"/>
  <c r="P163" i="3" s="1"/>
  <c r="R162" i="3"/>
  <c r="Q162" i="3" a="1"/>
  <c r="Q162" i="3" s="1"/>
  <c r="O162" i="3"/>
  <c r="P162" i="3" s="1"/>
  <c r="R161" i="3"/>
  <c r="Q161" i="3" a="1"/>
  <c r="Q161" i="3" s="1"/>
  <c r="O161" i="3"/>
  <c r="P161" i="3" s="1"/>
  <c r="R160" i="3"/>
  <c r="Q160" i="3" a="1"/>
  <c r="Q160" i="3" s="1"/>
  <c r="O160" i="3"/>
  <c r="P160" i="3" s="1"/>
  <c r="R159" i="3"/>
  <c r="Q159" i="3" a="1"/>
  <c r="Q159" i="3" s="1"/>
  <c r="O159" i="3"/>
  <c r="P159" i="3" s="1"/>
  <c r="R158" i="3"/>
  <c r="Q158" i="3" a="1"/>
  <c r="Q158" i="3" s="1"/>
  <c r="O158" i="3"/>
  <c r="P158" i="3" s="1"/>
  <c r="R157" i="3"/>
  <c r="Q157" i="3" a="1"/>
  <c r="Q157" i="3" s="1"/>
  <c r="O157" i="3"/>
  <c r="P157" i="3" s="1"/>
  <c r="R156" i="3"/>
  <c r="Q156" i="3" a="1"/>
  <c r="Q156" i="3" s="1"/>
  <c r="O156" i="3"/>
  <c r="P156" i="3" s="1"/>
  <c r="R155" i="3"/>
  <c r="Q155" i="3" a="1"/>
  <c r="Q155" i="3" s="1"/>
  <c r="O155" i="3"/>
  <c r="P155" i="3" s="1"/>
  <c r="R154" i="3"/>
  <c r="Q154" i="3" a="1"/>
  <c r="Q154" i="3" s="1"/>
  <c r="O154" i="3"/>
  <c r="P154" i="3" s="1"/>
  <c r="R153" i="3"/>
  <c r="Q153" i="3" a="1"/>
  <c r="Q153" i="3" s="1"/>
  <c r="O153" i="3"/>
  <c r="P153" i="3" s="1"/>
  <c r="R152" i="3"/>
  <c r="Q152" i="3" a="1"/>
  <c r="Q152" i="3" s="1"/>
  <c r="O152" i="3"/>
  <c r="P152" i="3" s="1"/>
  <c r="R151" i="3"/>
  <c r="Q151" i="3" a="1"/>
  <c r="Q151" i="3" s="1"/>
  <c r="O151" i="3"/>
  <c r="P151" i="3" s="1"/>
  <c r="R150" i="3"/>
  <c r="Q150" i="3" a="1"/>
  <c r="Q150" i="3" s="1"/>
  <c r="O150" i="3"/>
  <c r="P150" i="3" s="1"/>
  <c r="R149" i="3"/>
  <c r="Q149" i="3" a="1"/>
  <c r="Q149" i="3" s="1"/>
  <c r="O149" i="3"/>
  <c r="P149" i="3" s="1"/>
  <c r="R148" i="3"/>
  <c r="Q148" i="3" a="1"/>
  <c r="Q148" i="3" s="1"/>
  <c r="O148" i="3"/>
  <c r="P148" i="3" s="1"/>
  <c r="R147" i="3"/>
  <c r="Q147" i="3" a="1"/>
  <c r="Q147" i="3" s="1"/>
  <c r="O147" i="3"/>
  <c r="P147" i="3" s="1"/>
  <c r="R146" i="3"/>
  <c r="Q146" i="3" a="1"/>
  <c r="Q146" i="3" s="1"/>
  <c r="O146" i="3"/>
  <c r="P146" i="3" s="1"/>
  <c r="R145" i="3"/>
  <c r="Q145" i="3" a="1"/>
  <c r="Q145" i="3" s="1"/>
  <c r="O145" i="3"/>
  <c r="P145" i="3" s="1"/>
  <c r="R144" i="3"/>
  <c r="Q144" i="3" a="1"/>
  <c r="Q144" i="3" s="1"/>
  <c r="O144" i="3"/>
  <c r="P144" i="3" s="1"/>
  <c r="R143" i="3"/>
  <c r="Q143" i="3" a="1"/>
  <c r="Q143" i="3" s="1"/>
  <c r="O143" i="3"/>
  <c r="P143" i="3" s="1"/>
  <c r="R142" i="3"/>
  <c r="Q142" i="3" a="1"/>
  <c r="Q142" i="3" s="1"/>
  <c r="O142" i="3"/>
  <c r="P142" i="3" s="1"/>
  <c r="R141" i="3"/>
  <c r="Q141" i="3" a="1"/>
  <c r="Q141" i="3" s="1"/>
  <c r="O141" i="3"/>
  <c r="P141" i="3" s="1"/>
  <c r="R140" i="3"/>
  <c r="Q140" i="3" a="1"/>
  <c r="Q140" i="3" s="1"/>
  <c r="O140" i="3"/>
  <c r="P140" i="3" s="1"/>
  <c r="R139" i="3"/>
  <c r="Q139" i="3" a="1"/>
  <c r="Q139" i="3" s="1"/>
  <c r="O139" i="3"/>
  <c r="P139" i="3" s="1"/>
  <c r="R138" i="3"/>
  <c r="Q138" i="3" a="1"/>
  <c r="Q138" i="3" s="1"/>
  <c r="O138" i="3"/>
  <c r="P138" i="3" s="1"/>
  <c r="R137" i="3"/>
  <c r="Q137" i="3" a="1"/>
  <c r="Q137" i="3" s="1"/>
  <c r="O137" i="3"/>
  <c r="P137" i="3" s="1"/>
  <c r="R136" i="3"/>
  <c r="Q136" i="3" a="1"/>
  <c r="Q136" i="3" s="1"/>
  <c r="O136" i="3"/>
  <c r="P136" i="3" s="1"/>
  <c r="R135" i="3"/>
  <c r="Q135" i="3" a="1"/>
  <c r="Q135" i="3" s="1"/>
  <c r="O135" i="3"/>
  <c r="P135" i="3" s="1"/>
  <c r="R134" i="3"/>
  <c r="Q134" i="3" a="1"/>
  <c r="Q134" i="3" s="1"/>
  <c r="O134" i="3"/>
  <c r="P134" i="3" s="1"/>
  <c r="R133" i="3"/>
  <c r="Q133" i="3" a="1"/>
  <c r="Q133" i="3" s="1"/>
  <c r="O133" i="3"/>
  <c r="P133" i="3" s="1"/>
  <c r="R132" i="3"/>
  <c r="Q132" i="3" a="1"/>
  <c r="Q132" i="3" s="1"/>
  <c r="O132" i="3"/>
  <c r="P132" i="3" s="1"/>
  <c r="R131" i="3"/>
  <c r="Q131" i="3" a="1"/>
  <c r="Q131" i="3" s="1"/>
  <c r="O131" i="3"/>
  <c r="P131" i="3" s="1"/>
  <c r="R130" i="3"/>
  <c r="Q130" i="3" a="1"/>
  <c r="Q130" i="3" s="1"/>
  <c r="O130" i="3"/>
  <c r="P130" i="3" s="1"/>
  <c r="R129" i="3"/>
  <c r="Q129" i="3" a="1"/>
  <c r="Q129" i="3" s="1"/>
  <c r="O129" i="3"/>
  <c r="P129" i="3" s="1"/>
  <c r="R128" i="3"/>
  <c r="Q128" i="3" a="1"/>
  <c r="Q128" i="3" s="1"/>
  <c r="O128" i="3"/>
  <c r="P128" i="3" s="1"/>
  <c r="R127" i="3"/>
  <c r="Q127" i="3" a="1"/>
  <c r="Q127" i="3" s="1"/>
  <c r="O127" i="3"/>
  <c r="P127" i="3" s="1"/>
  <c r="R126" i="3"/>
  <c r="Q126" i="3" a="1"/>
  <c r="Q126" i="3" s="1"/>
  <c r="O126" i="3"/>
  <c r="P126" i="3" s="1"/>
  <c r="R125" i="3"/>
  <c r="Q125" i="3" a="1"/>
  <c r="Q125" i="3" s="1"/>
  <c r="O125" i="3"/>
  <c r="P125" i="3" s="1"/>
  <c r="R124" i="3"/>
  <c r="Q124" i="3" a="1"/>
  <c r="Q124" i="3" s="1"/>
  <c r="O124" i="3"/>
  <c r="P124" i="3" s="1"/>
  <c r="R123" i="3"/>
  <c r="Q123" i="3" a="1"/>
  <c r="Q123" i="3" s="1"/>
  <c r="O123" i="3"/>
  <c r="P123" i="3" s="1"/>
  <c r="R122" i="3"/>
  <c r="Q122" i="3" a="1"/>
  <c r="Q122" i="3" s="1"/>
  <c r="O122" i="3"/>
  <c r="P122" i="3" s="1"/>
  <c r="R121" i="3"/>
  <c r="Q121" i="3" a="1"/>
  <c r="Q121" i="3" s="1"/>
  <c r="O121" i="3"/>
  <c r="P121" i="3" s="1"/>
  <c r="R120" i="3"/>
  <c r="Q120" i="3" a="1"/>
  <c r="Q120" i="3" s="1"/>
  <c r="O120" i="3"/>
  <c r="P120" i="3" s="1"/>
  <c r="R119" i="3"/>
  <c r="Q119" i="3" a="1"/>
  <c r="Q119" i="3" s="1"/>
  <c r="O119" i="3"/>
  <c r="P119" i="3" s="1"/>
  <c r="R118" i="3"/>
  <c r="Q118" i="3" a="1"/>
  <c r="Q118" i="3" s="1"/>
  <c r="O118" i="3"/>
  <c r="P118" i="3" s="1"/>
  <c r="R117" i="3"/>
  <c r="Q117" i="3" a="1"/>
  <c r="Q117" i="3" s="1"/>
  <c r="O117" i="3"/>
  <c r="P117" i="3" s="1"/>
  <c r="R116" i="3"/>
  <c r="Q116" i="3" a="1"/>
  <c r="Q116" i="3" s="1"/>
  <c r="O116" i="3"/>
  <c r="P116" i="3" s="1"/>
  <c r="R115" i="3"/>
  <c r="Q115" i="3" a="1"/>
  <c r="Q115" i="3" s="1"/>
  <c r="O115" i="3"/>
  <c r="P115" i="3" s="1"/>
  <c r="R114" i="3"/>
  <c r="Q114" i="3" a="1"/>
  <c r="Q114" i="3" s="1"/>
  <c r="O114" i="3"/>
  <c r="P114" i="3" s="1"/>
  <c r="R113" i="3"/>
  <c r="Q113" i="3" a="1"/>
  <c r="Q113" i="3" s="1"/>
  <c r="O113" i="3"/>
  <c r="P113" i="3" s="1"/>
  <c r="R112" i="3"/>
  <c r="Q112" i="3" a="1"/>
  <c r="Q112" i="3" s="1"/>
  <c r="O112" i="3"/>
  <c r="P112" i="3" s="1"/>
  <c r="R111" i="3"/>
  <c r="Q111" i="3" a="1"/>
  <c r="Q111" i="3" s="1"/>
  <c r="O111" i="3"/>
  <c r="P111" i="3" s="1"/>
  <c r="R110" i="3"/>
  <c r="Q110" i="3" a="1"/>
  <c r="Q110" i="3" s="1"/>
  <c r="O110" i="3"/>
  <c r="P110" i="3" s="1"/>
  <c r="R109" i="3"/>
  <c r="Q109" i="3" a="1"/>
  <c r="Q109" i="3" s="1"/>
  <c r="O109" i="3"/>
  <c r="P109" i="3" s="1"/>
  <c r="R108" i="3"/>
  <c r="Q108" i="3" a="1"/>
  <c r="Q108" i="3" s="1"/>
  <c r="O108" i="3"/>
  <c r="P108" i="3" s="1"/>
  <c r="R107" i="3"/>
  <c r="Q107" i="3" a="1"/>
  <c r="Q107" i="3" s="1"/>
  <c r="O107" i="3"/>
  <c r="P107" i="3" s="1"/>
  <c r="R106" i="3"/>
  <c r="Q106" i="3" a="1"/>
  <c r="Q106" i="3" s="1"/>
  <c r="O106" i="3"/>
  <c r="P106" i="3" s="1"/>
  <c r="R105" i="3"/>
  <c r="Q105" i="3" a="1"/>
  <c r="Q105" i="3" s="1"/>
  <c r="O105" i="3"/>
  <c r="P105" i="3" s="1"/>
  <c r="R104" i="3"/>
  <c r="Q104" i="3" a="1"/>
  <c r="Q104" i="3" s="1"/>
  <c r="O104" i="3"/>
  <c r="P104" i="3" s="1"/>
  <c r="R103" i="3"/>
  <c r="Q103" i="3" a="1"/>
  <c r="Q103" i="3" s="1"/>
  <c r="O103" i="3"/>
  <c r="P103" i="3" s="1"/>
  <c r="R102" i="3"/>
  <c r="Q102" i="3" a="1"/>
  <c r="Q102" i="3" s="1"/>
  <c r="O102" i="3"/>
  <c r="P102" i="3" s="1"/>
  <c r="R101" i="3"/>
  <c r="Q101" i="3" a="1"/>
  <c r="Q101" i="3" s="1"/>
  <c r="O101" i="3"/>
  <c r="P101" i="3" s="1"/>
  <c r="R100" i="3"/>
  <c r="Q100" i="3" a="1"/>
  <c r="Q100" i="3" s="1"/>
  <c r="O100" i="3"/>
  <c r="P100" i="3" s="1"/>
  <c r="R99" i="3"/>
  <c r="Q99" i="3" a="1"/>
  <c r="Q99" i="3" s="1"/>
  <c r="O99" i="3"/>
  <c r="P99" i="3" s="1"/>
  <c r="R98" i="3"/>
  <c r="Q98" i="3" a="1"/>
  <c r="Q98" i="3" s="1"/>
  <c r="O98" i="3"/>
  <c r="P98" i="3" s="1"/>
  <c r="R97" i="3"/>
  <c r="Q97" i="3" a="1"/>
  <c r="Q97" i="3" s="1"/>
  <c r="O97" i="3"/>
  <c r="P97" i="3" s="1"/>
  <c r="R96" i="3"/>
  <c r="Q96" i="3" a="1"/>
  <c r="Q96" i="3" s="1"/>
  <c r="O96" i="3"/>
  <c r="P96" i="3" s="1"/>
  <c r="R95" i="3"/>
  <c r="Q95" i="3" a="1"/>
  <c r="Q95" i="3" s="1"/>
  <c r="O95" i="3"/>
  <c r="P95" i="3" s="1"/>
  <c r="R94" i="3"/>
  <c r="Q94" i="3" a="1"/>
  <c r="Q94" i="3" s="1"/>
  <c r="O94" i="3"/>
  <c r="P94" i="3" s="1"/>
  <c r="R93" i="3"/>
  <c r="Q93" i="3" a="1"/>
  <c r="Q93" i="3" s="1"/>
  <c r="O93" i="3"/>
  <c r="P93" i="3" s="1"/>
  <c r="R92" i="3"/>
  <c r="Q92" i="3" a="1"/>
  <c r="Q92" i="3" s="1"/>
  <c r="O92" i="3"/>
  <c r="P92" i="3" s="1"/>
  <c r="R91" i="3"/>
  <c r="Q91" i="3" a="1"/>
  <c r="Q91" i="3" s="1"/>
  <c r="O91" i="3"/>
  <c r="P91" i="3" s="1"/>
  <c r="R90" i="3"/>
  <c r="Q90" i="3" a="1"/>
  <c r="Q90" i="3" s="1"/>
  <c r="O90" i="3"/>
  <c r="P90" i="3" s="1"/>
  <c r="R89" i="3"/>
  <c r="Q89" i="3" a="1"/>
  <c r="Q89" i="3" s="1"/>
  <c r="O89" i="3"/>
  <c r="P89" i="3" s="1"/>
  <c r="R88" i="3"/>
  <c r="Q88" i="3" a="1"/>
  <c r="Q88" i="3" s="1"/>
  <c r="O88" i="3"/>
  <c r="P88" i="3" s="1"/>
  <c r="R87" i="3"/>
  <c r="Q87" i="3" a="1"/>
  <c r="Q87" i="3" s="1"/>
  <c r="O87" i="3"/>
  <c r="P87" i="3" s="1"/>
  <c r="R86" i="3"/>
  <c r="Q86" i="3" a="1"/>
  <c r="Q86" i="3" s="1"/>
  <c r="O86" i="3"/>
  <c r="P86" i="3" s="1"/>
  <c r="R85" i="3"/>
  <c r="Q85" i="3" a="1"/>
  <c r="Q85" i="3" s="1"/>
  <c r="O85" i="3"/>
  <c r="P85" i="3" s="1"/>
  <c r="R84" i="3"/>
  <c r="Q84" i="3" a="1"/>
  <c r="Q84" i="3" s="1"/>
  <c r="O84" i="3"/>
  <c r="P84" i="3" s="1"/>
  <c r="R83" i="3"/>
  <c r="Q83" i="3" a="1"/>
  <c r="Q83" i="3" s="1"/>
  <c r="O83" i="3"/>
  <c r="P83" i="3" s="1"/>
  <c r="R82" i="3"/>
  <c r="Q82" i="3" a="1"/>
  <c r="Q82" i="3" s="1"/>
  <c r="O82" i="3"/>
  <c r="P82" i="3" s="1"/>
  <c r="R81" i="3"/>
  <c r="Q81" i="3" a="1"/>
  <c r="Q81" i="3" s="1"/>
  <c r="O81" i="3"/>
  <c r="P81" i="3" s="1"/>
  <c r="R80" i="3"/>
  <c r="Q80" i="3" a="1"/>
  <c r="Q80" i="3" s="1"/>
  <c r="O80" i="3"/>
  <c r="P80" i="3" s="1"/>
  <c r="R79" i="3"/>
  <c r="Q79" i="3" a="1"/>
  <c r="Q79" i="3" s="1"/>
  <c r="O79" i="3"/>
  <c r="P79" i="3" s="1"/>
  <c r="R78" i="3"/>
  <c r="Q78" i="3" a="1"/>
  <c r="Q78" i="3" s="1"/>
  <c r="O78" i="3"/>
  <c r="P78" i="3" s="1"/>
  <c r="R77" i="3"/>
  <c r="Q77" i="3" a="1"/>
  <c r="Q77" i="3" s="1"/>
  <c r="O77" i="3"/>
  <c r="P77" i="3" s="1"/>
  <c r="R76" i="3"/>
  <c r="Q76" i="3" a="1"/>
  <c r="Q76" i="3" s="1"/>
  <c r="O76" i="3"/>
  <c r="P76" i="3" s="1"/>
  <c r="R75" i="3"/>
  <c r="Q75" i="3" a="1"/>
  <c r="Q75" i="3" s="1"/>
  <c r="O75" i="3"/>
  <c r="P75" i="3" s="1"/>
  <c r="R74" i="3"/>
  <c r="Q74" i="3" a="1"/>
  <c r="Q74" i="3" s="1"/>
  <c r="O74" i="3"/>
  <c r="P74" i="3" s="1"/>
  <c r="R73" i="3"/>
  <c r="Q73" i="3" a="1"/>
  <c r="Q73" i="3" s="1"/>
  <c r="O73" i="3"/>
  <c r="P73" i="3" s="1"/>
  <c r="R72" i="3"/>
  <c r="Q72" i="3" a="1"/>
  <c r="Q72" i="3" s="1"/>
  <c r="O72" i="3"/>
  <c r="P72" i="3" s="1"/>
  <c r="R71" i="3"/>
  <c r="Q71" i="3" a="1"/>
  <c r="Q71" i="3" s="1"/>
  <c r="O71" i="3"/>
  <c r="P71" i="3" s="1"/>
  <c r="R70" i="3"/>
  <c r="Q70" i="3" a="1"/>
  <c r="Q70" i="3" s="1"/>
  <c r="O70" i="3"/>
  <c r="P70" i="3" s="1"/>
  <c r="R69" i="3"/>
  <c r="Q69" i="3" a="1"/>
  <c r="Q69" i="3" s="1"/>
  <c r="O69" i="3"/>
  <c r="P69" i="3" s="1"/>
  <c r="R68" i="3"/>
  <c r="Q68" i="3" a="1"/>
  <c r="Q68" i="3" s="1"/>
  <c r="O68" i="3"/>
  <c r="P68" i="3" s="1"/>
  <c r="R67" i="3"/>
  <c r="Q67" i="3" a="1"/>
  <c r="Q67" i="3" s="1"/>
  <c r="O67" i="3"/>
  <c r="P67" i="3" s="1"/>
  <c r="R66" i="3"/>
  <c r="Q66" i="3" a="1"/>
  <c r="Q66" i="3" s="1"/>
  <c r="O66" i="3"/>
  <c r="P66" i="3" s="1"/>
  <c r="R65" i="3"/>
  <c r="Q65" i="3" a="1"/>
  <c r="Q65" i="3" s="1"/>
  <c r="O65" i="3"/>
  <c r="P65" i="3" s="1"/>
  <c r="R64" i="3"/>
  <c r="Q64" i="3" a="1"/>
  <c r="Q64" i="3" s="1"/>
  <c r="O64" i="3"/>
  <c r="P64" i="3" s="1"/>
  <c r="R63" i="3"/>
  <c r="Q63" i="3" a="1"/>
  <c r="Q63" i="3" s="1"/>
  <c r="O63" i="3"/>
  <c r="P63" i="3" s="1"/>
  <c r="R62" i="3"/>
  <c r="Q62" i="3" a="1"/>
  <c r="Q62" i="3" s="1"/>
  <c r="O62" i="3"/>
  <c r="P62" i="3" s="1"/>
  <c r="R61" i="3"/>
  <c r="Q61" i="3" a="1"/>
  <c r="Q61" i="3" s="1"/>
  <c r="O61" i="3"/>
  <c r="P61" i="3" s="1"/>
  <c r="R60" i="3"/>
  <c r="Q60" i="3" a="1"/>
  <c r="Q60" i="3" s="1"/>
  <c r="O60" i="3"/>
  <c r="P60" i="3" s="1"/>
  <c r="R59" i="3"/>
  <c r="Q59" i="3" a="1"/>
  <c r="Q59" i="3" s="1"/>
  <c r="O59" i="3"/>
  <c r="P59" i="3" s="1"/>
  <c r="R58" i="3"/>
  <c r="Q58" i="3" a="1"/>
  <c r="Q58" i="3" s="1"/>
  <c r="O58" i="3"/>
  <c r="P58" i="3" s="1"/>
  <c r="R57" i="3"/>
  <c r="Q57" i="3" a="1"/>
  <c r="Q57" i="3" s="1"/>
  <c r="O57" i="3"/>
  <c r="P57" i="3" s="1"/>
  <c r="R56" i="3"/>
  <c r="Q56" i="3" a="1"/>
  <c r="Q56" i="3" s="1"/>
  <c r="O56" i="3"/>
  <c r="P56" i="3" s="1"/>
  <c r="R55" i="3"/>
  <c r="Q55" i="3" a="1"/>
  <c r="Q55" i="3" s="1"/>
  <c r="O55" i="3"/>
  <c r="P55" i="3" s="1"/>
  <c r="R54" i="3"/>
  <c r="Q54" i="3" a="1"/>
  <c r="Q54" i="3" s="1"/>
  <c r="O54" i="3"/>
  <c r="P54" i="3" s="1"/>
  <c r="R53" i="3"/>
  <c r="Q53" i="3" a="1"/>
  <c r="Q53" i="3" s="1"/>
  <c r="O53" i="3"/>
  <c r="P53" i="3" s="1"/>
  <c r="R52" i="3"/>
  <c r="Q52" i="3" a="1"/>
  <c r="Q52" i="3" s="1"/>
  <c r="O52" i="3"/>
  <c r="P52" i="3" s="1"/>
  <c r="R51" i="3"/>
  <c r="Q51" i="3" a="1"/>
  <c r="Q51" i="3" s="1"/>
  <c r="O51" i="3"/>
  <c r="P51" i="3" s="1"/>
  <c r="R50" i="3"/>
  <c r="Q50" i="3" a="1"/>
  <c r="Q50" i="3" s="1"/>
  <c r="O50" i="3"/>
  <c r="P50" i="3" s="1"/>
  <c r="R49" i="3"/>
  <c r="Q49" i="3" a="1"/>
  <c r="Q49" i="3" s="1"/>
  <c r="O49" i="3"/>
  <c r="P49" i="3" s="1"/>
  <c r="R48" i="3"/>
  <c r="Q48" i="3" a="1"/>
  <c r="Q48" i="3" s="1"/>
  <c r="O48" i="3"/>
  <c r="P48" i="3" s="1"/>
  <c r="R47" i="3"/>
  <c r="Q47" i="3" a="1"/>
  <c r="Q47" i="3" s="1"/>
  <c r="O47" i="3"/>
  <c r="P47" i="3" s="1"/>
  <c r="R46" i="3"/>
  <c r="Q46" i="3" a="1"/>
  <c r="Q46" i="3" s="1"/>
  <c r="O46" i="3"/>
  <c r="P46" i="3" s="1"/>
  <c r="R45" i="3"/>
  <c r="Q45" i="3" a="1"/>
  <c r="Q45" i="3" s="1"/>
  <c r="O45" i="3"/>
  <c r="P45" i="3" s="1"/>
  <c r="R44" i="3"/>
  <c r="Q44" i="3" a="1"/>
  <c r="Q44" i="3" s="1"/>
  <c r="O44" i="3"/>
  <c r="P44" i="3" s="1"/>
  <c r="R43" i="3"/>
  <c r="Q43" i="3" a="1"/>
  <c r="Q43" i="3" s="1"/>
  <c r="O43" i="3"/>
  <c r="P43" i="3" s="1"/>
  <c r="R42" i="3"/>
  <c r="Q42" i="3" a="1"/>
  <c r="Q42" i="3" s="1"/>
  <c r="O42" i="3"/>
  <c r="P42" i="3" s="1"/>
  <c r="R41" i="3"/>
  <c r="Q41" i="3" a="1"/>
  <c r="Q41" i="3" s="1"/>
  <c r="O41" i="3"/>
  <c r="P41" i="3" s="1"/>
  <c r="R40" i="3"/>
  <c r="Q40" i="3" a="1"/>
  <c r="Q40" i="3" s="1"/>
  <c r="O40" i="3"/>
  <c r="P40" i="3" s="1"/>
  <c r="R39" i="3"/>
  <c r="Q39" i="3" a="1"/>
  <c r="Q39" i="3" s="1"/>
  <c r="O39" i="3"/>
  <c r="P39" i="3" s="1"/>
  <c r="R38" i="3"/>
  <c r="Q38" i="3" a="1"/>
  <c r="Q38" i="3" s="1"/>
  <c r="O38" i="3"/>
  <c r="P38" i="3" s="1"/>
  <c r="R37" i="3"/>
  <c r="Q37" i="3" a="1"/>
  <c r="Q37" i="3" s="1"/>
  <c r="O37" i="3"/>
  <c r="P37" i="3" s="1"/>
  <c r="R36" i="3"/>
  <c r="Q36" i="3" a="1"/>
  <c r="Q36" i="3" s="1"/>
  <c r="O36" i="3"/>
  <c r="P36" i="3" s="1"/>
  <c r="R35" i="3"/>
  <c r="Q35" i="3" a="1"/>
  <c r="Q35" i="3" s="1"/>
  <c r="O35" i="3"/>
  <c r="P35" i="3" s="1"/>
  <c r="R34" i="3"/>
  <c r="Q34" i="3" a="1"/>
  <c r="Q34" i="3" s="1"/>
  <c r="O34" i="3"/>
  <c r="P34" i="3" s="1"/>
  <c r="R33" i="3"/>
  <c r="Q33" i="3" a="1"/>
  <c r="Q33" i="3" s="1"/>
  <c r="O33" i="3"/>
  <c r="P33" i="3" s="1"/>
  <c r="R32" i="3"/>
  <c r="Q32" i="3" a="1"/>
  <c r="Q32" i="3" s="1"/>
  <c r="O32" i="3"/>
  <c r="P32" i="3" s="1"/>
  <c r="R31" i="3"/>
  <c r="Q31" i="3" a="1"/>
  <c r="Q31" i="3" s="1"/>
  <c r="O31" i="3"/>
  <c r="P31" i="3" s="1"/>
  <c r="R30" i="3"/>
  <c r="Q30" i="3" a="1"/>
  <c r="Q30" i="3" s="1"/>
  <c r="O30" i="3"/>
  <c r="P30" i="3" s="1"/>
  <c r="R29" i="3"/>
  <c r="Q29" i="3" a="1"/>
  <c r="Q29" i="3" s="1"/>
  <c r="O29" i="3"/>
  <c r="P29" i="3" s="1"/>
  <c r="R28" i="3"/>
  <c r="Q28" i="3" a="1"/>
  <c r="Q28" i="3" s="1"/>
  <c r="O28" i="3"/>
  <c r="P28" i="3" s="1"/>
  <c r="R27" i="3"/>
  <c r="Q27" i="3" a="1"/>
  <c r="Q27" i="3" s="1"/>
  <c r="O27" i="3"/>
  <c r="P27" i="3" s="1"/>
  <c r="R26" i="3"/>
  <c r="Q26" i="3" a="1"/>
  <c r="Q26" i="3" s="1"/>
  <c r="O26" i="3"/>
  <c r="P26" i="3" s="1"/>
  <c r="R25" i="3"/>
  <c r="Q25" i="3" a="1"/>
  <c r="Q25" i="3" s="1"/>
  <c r="O25" i="3"/>
  <c r="P25" i="3" s="1"/>
  <c r="R24" i="3"/>
  <c r="Q24" i="3" a="1"/>
  <c r="Q24" i="3" s="1"/>
  <c r="O24" i="3"/>
  <c r="P24" i="3" s="1"/>
  <c r="R23" i="3"/>
  <c r="Q23" i="3" a="1"/>
  <c r="Q23" i="3" s="1"/>
  <c r="O23" i="3"/>
  <c r="P23" i="3" s="1"/>
  <c r="R22" i="3"/>
  <c r="Q22" i="3" a="1"/>
  <c r="Q22" i="3" s="1"/>
  <c r="O22" i="3"/>
  <c r="P22" i="3" s="1"/>
  <c r="R21" i="3"/>
  <c r="Q21" i="3" a="1"/>
  <c r="Q21" i="3" s="1"/>
  <c r="O21" i="3"/>
  <c r="P21" i="3" s="1"/>
  <c r="R20" i="3"/>
  <c r="Q20" i="3" a="1"/>
  <c r="Q20" i="3" s="1"/>
  <c r="O20" i="3"/>
  <c r="P20" i="3" s="1"/>
  <c r="R19" i="3"/>
  <c r="Q19" i="3" a="1"/>
  <c r="Q19" i="3" s="1"/>
  <c r="O19" i="3"/>
  <c r="P19" i="3" s="1"/>
  <c r="R18" i="3"/>
  <c r="Q18" i="3" a="1"/>
  <c r="Q18" i="3" s="1"/>
  <c r="O18" i="3"/>
  <c r="P18" i="3" s="1"/>
  <c r="R17" i="3"/>
  <c r="Q17" i="3" a="1"/>
  <c r="Q17" i="3" s="1"/>
  <c r="O17" i="3"/>
  <c r="P17" i="3" s="1"/>
  <c r="R16" i="3"/>
  <c r="Q16" i="3" a="1"/>
  <c r="Q16" i="3" s="1"/>
  <c r="O16" i="3"/>
  <c r="P16" i="3" s="1"/>
  <c r="R15" i="3"/>
  <c r="Q15" i="3" a="1"/>
  <c r="Q15" i="3" s="1"/>
  <c r="O15" i="3"/>
  <c r="P15" i="3" s="1"/>
  <c r="R14" i="3"/>
  <c r="Q14" i="3" a="1"/>
  <c r="Q14" i="3" s="1"/>
  <c r="O14" i="3"/>
  <c r="P14" i="3" s="1"/>
  <c r="R13" i="3"/>
  <c r="Q13" i="3" a="1"/>
  <c r="Q13" i="3" s="1"/>
  <c r="O13" i="3"/>
  <c r="P13" i="3" s="1"/>
  <c r="R12" i="3"/>
  <c r="Q12" i="3" a="1"/>
  <c r="Q12" i="3" s="1"/>
  <c r="P12" i="3"/>
  <c r="O12" i="3"/>
  <c r="R11" i="3"/>
  <c r="Q11" i="3" a="1"/>
  <c r="Q11" i="3" s="1"/>
  <c r="O11" i="3"/>
  <c r="P11" i="3" s="1"/>
  <c r="R10" i="3"/>
  <c r="Q10" i="3" a="1"/>
  <c r="Q10" i="3" s="1"/>
  <c r="O10" i="3"/>
  <c r="P10" i="3" s="1"/>
  <c r="R9" i="3"/>
  <c r="Q9" i="3" a="1"/>
  <c r="Q9" i="3" s="1"/>
  <c r="O9" i="3"/>
  <c r="P9" i="3" s="1"/>
  <c r="R8" i="3"/>
  <c r="Q8" i="3" a="1"/>
  <c r="Q8" i="3" s="1"/>
  <c r="O8" i="3"/>
  <c r="P8" i="3" s="1"/>
  <c r="R7" i="3"/>
  <c r="Q7" i="3" a="1"/>
  <c r="Q7" i="3" s="1"/>
  <c r="O7" i="3"/>
  <c r="P7" i="3" s="1"/>
  <c r="R6" i="3"/>
  <c r="Q6" i="3" a="1"/>
  <c r="Q6" i="3" s="1"/>
  <c r="O6" i="3"/>
  <c r="P6" i="3" s="1"/>
  <c r="R5" i="3"/>
  <c r="Q5" i="3" a="1"/>
  <c r="Q5" i="3" s="1"/>
  <c r="O5" i="3"/>
  <c r="P5" i="3" s="1"/>
  <c r="R4" i="3"/>
  <c r="Q4" i="3" a="1"/>
  <c r="Q4" i="3" s="1"/>
  <c r="O4" i="3"/>
  <c r="P4" i="3" s="1"/>
  <c r="R3" i="3"/>
  <c r="Q3" i="3" a="1"/>
  <c r="Q3" i="3" s="1"/>
  <c r="O3" i="3"/>
  <c r="P3" i="3" s="1"/>
  <c r="R2" i="3"/>
  <c r="Q2" i="3" a="1"/>
  <c r="Q2" i="3" s="1"/>
  <c r="O2" i="3"/>
  <c r="P2" i="3" s="1"/>
  <c r="V51" i="1" a="1"/>
  <c r="V51" i="1" s="1"/>
  <c r="U49" i="1"/>
  <c r="V46" i="1"/>
  <c r="U43" i="1"/>
  <c r="U40" i="1"/>
  <c r="V39" i="1"/>
  <c r="V38" i="1"/>
  <c r="Y16" i="1"/>
  <c r="V22" i="1"/>
  <c r="U19" i="1"/>
  <c r="T15" i="1"/>
  <c r="V13" i="1" a="1"/>
  <c r="V9" i="1"/>
  <c r="W7" i="1"/>
  <c r="E8" i="2"/>
  <c r="F8" i="2"/>
  <c r="G8" i="2" s="1"/>
  <c r="E7" i="2"/>
  <c r="F7" i="2"/>
  <c r="G7" i="2" s="1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2" i="1" a="1"/>
  <c r="Q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2" i="1"/>
  <c r="P2" i="1" s="1"/>
  <c r="V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<sst xmlns="http://schemas.openxmlformats.org/spreadsheetml/2006/main" count="5319" uniqueCount="108">
  <si>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</si>
  <si>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</si>
  <si>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</si>
  <si>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</si>
  <si>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</si>
  <si>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</si>
  <si>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</si>
  <si>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</si>
  <si>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</si>
  <si>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</si>
  <si>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</si>
  <si>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</si>
  <si>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</si>
  <si>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</si>
  <si>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</si>
  <si>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</si>
  <si>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</si>
  <si>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</si>
  <si>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</si>
  <si>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</si>
  <si>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</si>
  <si>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</si>
  <si>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</si>
  <si>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</si>
  <si>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</si>
  <si>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</si>
  <si>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</si>
  <si>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</si>
  <si>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</si>
  <si>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</si>
  <si>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</si>
  <si>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</si>
  <si>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</si>
  <si>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</si>
  <si>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</si>
  <si>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</si>
  <si>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</si>
  <si>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</si>
  <si>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</si>
  <si>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</si>
  <si>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</si>
  <si>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</si>
  <si>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</si>
  <si>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</si>
  <si>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</si>
  <si>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</si>
  <si>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</si>
  <si>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</si>
  <si>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</si>
  <si>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</si>
  <si>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</si>
  <si>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</si>
  <si>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</si>
  <si>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</si>
  <si>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</si>
  <si>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</si>
  <si>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</si>
  <si>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</si>
  <si>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</si>
  <si>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</si>
  <si>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</si>
  <si>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</si>
  <si>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</si>
  <si>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</si>
  <si>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</si>
  <si>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</si>
  <si>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</si>
  <si>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</si>
  <si>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</si>
  <si>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</si>
  <si>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Category</t>
  </si>
  <si>
    <t>Discount Category</t>
  </si>
  <si>
    <t>Unit Category</t>
  </si>
  <si>
    <t>Name</t>
  </si>
  <si>
    <t>sub1</t>
  </si>
  <si>
    <t>sub2</t>
  </si>
  <si>
    <t>sub3</t>
  </si>
  <si>
    <t>Total</t>
  </si>
  <si>
    <t>Average</t>
  </si>
  <si>
    <t>Grade</t>
  </si>
  <si>
    <t>Anu</t>
  </si>
  <si>
    <t>Sonu</t>
  </si>
  <si>
    <t>Ashu</t>
  </si>
  <si>
    <t>Raza</t>
  </si>
  <si>
    <t>Adhiraj</t>
  </si>
  <si>
    <t>annw</t>
  </si>
  <si>
    <t>nesha</t>
  </si>
  <si>
    <t>TOTAL UNIT SOLD</t>
  </si>
  <si>
    <t>Total Unit SOLD</t>
  </si>
  <si>
    <t>Product Ctegory</t>
  </si>
  <si>
    <t>Brand Name</t>
  </si>
  <si>
    <t>Total Unit sold</t>
  </si>
  <si>
    <t>average unit price</t>
  </si>
  <si>
    <t>avg unit price</t>
  </si>
  <si>
    <t>AVERAGE UNIT Price</t>
  </si>
  <si>
    <t>ANU</t>
  </si>
  <si>
    <t>AverageA</t>
  </si>
  <si>
    <t>Count</t>
  </si>
  <si>
    <t>Product Rows</t>
  </si>
  <si>
    <t>Unit Sold Rows</t>
  </si>
  <si>
    <t>CountA</t>
  </si>
  <si>
    <t>COUNTBLANK</t>
  </si>
  <si>
    <t>BRAND NAME</t>
  </si>
  <si>
    <t>COUNT Brand Name</t>
  </si>
  <si>
    <t>Total count</t>
  </si>
  <si>
    <t>total price amount</t>
  </si>
  <si>
    <t>sumproduct()</t>
  </si>
  <si>
    <t>conditional sumproduct()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</si>
</sst>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2" fontId="0" fillId="0" borderId="1" xfId="0" applyNumberFormat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9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Y373"/>
  <sheetViews>
    <sheetView zoomScale="68" zoomScaleNormal="68" workbookViewId="0">
      <selection activeCell="S251" sqref="S25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10.21875" customWidth="1"/>
    <col min="17" max="17" width="16.44140625" bestFit="1" customWidth="1"/>
    <col min="18" max="18" width="12.5546875" bestFit="1" customWidth="1"/>
    <col min="20" max="20" width="17.88671875" customWidth="1"/>
    <col min="21" max="21" width="18.77734375" customWidth="1"/>
    <col min="22" max="22" width="17.77734375" customWidth="1"/>
    <col min="23" max="23" width="13.66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4" t="s">
        <v>71</v>
      </c>
      <c r="R1" s="4" t="s">
        <v>72</v>
      </c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 Price","Low Price")</f>
        <v>High Price</v>
      </c>
      <c r="Q2" s="1" t="str" cm="1">
        <f t="array" ref="Q2">_xlfn.IFS(N2&gt;=10,"High",N2&gt;=5,"Medium",N2&lt;5,"Low")</f>
        <v>Low</v>
      </c>
      <c r="R2" s="1" t="str">
        <f>IF(L2&gt;=8,"High",IF(L2&gt;4,"Medium","Low"))</f>
        <v>Medium</v>
      </c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 Price","Low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IF(L3&gt;=8,"High",IF(L3&gt;4,"Medium","Low"))</f>
        <v>High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U7" s="7" t="s">
        <v>87</v>
      </c>
      <c r="V7" s="8"/>
      <c r="W7" s="1">
        <f>SUM(L2:L373)</f>
        <v>1837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  <c r="T9" s="3" t="s">
        <v>46</v>
      </c>
      <c r="U9" s="3" t="s">
        <v>88</v>
      </c>
      <c r="V9" s="9">
        <f>SUMIF(K2:K373,T9,L2:L373)</f>
        <v>354</v>
      </c>
      <c r="W9" s="10"/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X11" s="1" t="s">
        <v>95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  <c r="T12" s="3" t="s">
        <v>89</v>
      </c>
      <c r="U12" s="3" t="s">
        <v>90</v>
      </c>
      <c r="V12" s="3" t="s">
        <v>91</v>
      </c>
      <c r="X12" s="1">
        <v>89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T13" s="1" t="s">
        <v>30</v>
      </c>
      <c r="U13" s="1" t="s">
        <v>46</v>
      </c>
      <c r="V13" s="1" cm="1">
        <f t="array" ref="V13">SUMIFS(L2:L373,I2:I373,T13:T13,K2:K373,U13)</f>
        <v>63</v>
      </c>
      <c r="X13" s="1" t="b">
        <v>0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High</v>
      </c>
      <c r="X14" s="1">
        <v>56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High</v>
      </c>
      <c r="T15" s="5">
        <f>AVERAGE(M2:M373)</f>
        <v>2001.1641935483883</v>
      </c>
      <c r="U15" s="3" t="s">
        <v>92</v>
      </c>
      <c r="X15" s="6" t="b">
        <v>1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  <c r="X16" s="3" t="s">
        <v>96</v>
      </c>
      <c r="Y16" s="1">
        <f>AVERAGEA(X11:X15)</f>
        <v>29.2</v>
      </c>
    </row>
    <row r="17" spans="1:23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High</v>
      </c>
    </row>
    <row r="18" spans="1:23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  <c r="T18" s="3" t="s">
        <v>90</v>
      </c>
      <c r="U18" s="3" t="s">
        <v>93</v>
      </c>
    </row>
    <row r="19" spans="1:23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  <c r="T19" s="1" t="s">
        <v>44</v>
      </c>
      <c r="U19" s="5">
        <f>AVERAGEIF(K2:K373,T19,M2:M373)</f>
        <v>1859.1251898734179</v>
      </c>
    </row>
    <row r="20" spans="1:23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23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T21" s="3" t="s">
        <v>89</v>
      </c>
      <c r="U21" s="3" t="s">
        <v>90</v>
      </c>
      <c r="V21" s="3" t="s">
        <v>94</v>
      </c>
    </row>
    <row r="22" spans="1:23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  <c r="T22" s="1" t="s">
        <v>30</v>
      </c>
      <c r="U22" s="1" t="s">
        <v>20</v>
      </c>
      <c r="V22" s="5">
        <f>AVERAGEIFS(M2:M373,I2:I373,T22,K2:K373,U22)</f>
        <v>2151.9038461538457</v>
      </c>
    </row>
    <row r="23" spans="1:23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23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23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  <c r="T25" s="3" t="s">
        <v>9</v>
      </c>
      <c r="U25" s="3" t="s">
        <v>10</v>
      </c>
      <c r="V25" s="3" t="s">
        <v>11</v>
      </c>
      <c r="W25" s="3" t="s">
        <v>12</v>
      </c>
    </row>
    <row r="26" spans="1:23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  <c r="T26" s="1" t="s">
        <v>19</v>
      </c>
      <c r="U26" s="1" t="s">
        <v>20</v>
      </c>
      <c r="V26" s="1">
        <v>7</v>
      </c>
      <c r="W26" s="1">
        <v>2843.87</v>
      </c>
    </row>
    <row r="27" spans="1:23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  <c r="T27" s="1" t="s">
        <v>26</v>
      </c>
      <c r="U27" s="1" t="s">
        <v>27</v>
      </c>
      <c r="V27" s="1">
        <v>9</v>
      </c>
      <c r="W27" s="1">
        <v>2525.23</v>
      </c>
    </row>
    <row r="28" spans="1:23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  <c r="T28" s="1" t="s">
        <v>31</v>
      </c>
      <c r="U28" s="1" t="s">
        <v>32</v>
      </c>
      <c r="V28" s="1">
        <v>6</v>
      </c>
      <c r="W28" s="1">
        <v>3474.34</v>
      </c>
    </row>
    <row r="29" spans="1:23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  <c r="T29" s="1" t="s">
        <v>35</v>
      </c>
      <c r="U29" s="1" t="s">
        <v>20</v>
      </c>
      <c r="V29" s="1">
        <v>1</v>
      </c>
      <c r="W29" s="1">
        <v>1008.79</v>
      </c>
    </row>
    <row r="30" spans="1:23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  <c r="T30" s="1" t="s">
        <v>38</v>
      </c>
      <c r="U30" s="1" t="s">
        <v>20</v>
      </c>
      <c r="V30" s="1">
        <v>7</v>
      </c>
      <c r="W30" s="1">
        <v>3511.47</v>
      </c>
    </row>
    <row r="31" spans="1:23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  <c r="T31" s="1" t="s">
        <v>42</v>
      </c>
      <c r="U31" s="1" t="s">
        <v>32</v>
      </c>
      <c r="V31" s="1">
        <v>3</v>
      </c>
      <c r="W31" s="1">
        <v>3189.55</v>
      </c>
    </row>
    <row r="32" spans="1:23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  <c r="T32" s="1" t="s">
        <v>31</v>
      </c>
      <c r="U32" s="1" t="s">
        <v>44</v>
      </c>
      <c r="V32" s="1">
        <v>5</v>
      </c>
      <c r="W32" s="1">
        <v>3030.42</v>
      </c>
    </row>
    <row r="33" spans="1:23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  <c r="T33" s="1" t="s">
        <v>31</v>
      </c>
      <c r="U33" s="1" t="s">
        <v>46</v>
      </c>
      <c r="V33" s="1">
        <v>4</v>
      </c>
      <c r="W33" s="1">
        <v>2310.83</v>
      </c>
    </row>
    <row r="34" spans="1:23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  <c r="T34" s="1" t="s">
        <v>47</v>
      </c>
      <c r="U34" s="1" t="s">
        <v>27</v>
      </c>
      <c r="V34" s="1">
        <v>5</v>
      </c>
      <c r="W34" s="1">
        <v>1098.04</v>
      </c>
    </row>
    <row r="35" spans="1:23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  <c r="T35" s="1" t="s">
        <v>49</v>
      </c>
      <c r="U35" s="1" t="s">
        <v>46</v>
      </c>
      <c r="V35" s="1">
        <v>5</v>
      </c>
      <c r="W35" s="1">
        <v>1780.66</v>
      </c>
    </row>
    <row r="36" spans="1:23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23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23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  <c r="T38" s="3" t="s">
        <v>100</v>
      </c>
      <c r="U38" s="3" t="s">
        <v>98</v>
      </c>
      <c r="V38" s="1">
        <f>COUNTA(T26:T35)</f>
        <v>10</v>
      </c>
    </row>
    <row r="39" spans="1:23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  <c r="T39" s="3" t="s">
        <v>97</v>
      </c>
      <c r="U39" s="3" t="s">
        <v>99</v>
      </c>
      <c r="V39" s="1">
        <f>COUNT(V26:V35)</f>
        <v>10</v>
      </c>
    </row>
    <row r="40" spans="1:23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  <c r="T40" s="3" t="s">
        <v>101</v>
      </c>
      <c r="U40" s="3">
        <f>COUNTBLANK(V26:V36)</f>
        <v>1</v>
      </c>
    </row>
    <row r="41" spans="1:23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23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High</v>
      </c>
      <c r="T42" s="3" t="s">
        <v>102</v>
      </c>
      <c r="U42" s="3" t="s">
        <v>103</v>
      </c>
    </row>
    <row r="43" spans="1:23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  <c r="T43" s="3" t="s">
        <v>20</v>
      </c>
      <c r="U43" s="1">
        <f>COUNTIF(K2:K373,T43)</f>
        <v>75</v>
      </c>
    </row>
    <row r="44" spans="1:23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23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  <c r="T45" s="3" t="s">
        <v>89</v>
      </c>
      <c r="U45" s="3" t="s">
        <v>90</v>
      </c>
      <c r="V45" s="3" t="s">
        <v>104</v>
      </c>
    </row>
    <row r="46" spans="1:23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  <c r="T46" s="1" t="s">
        <v>30</v>
      </c>
      <c r="U46" s="1" t="s">
        <v>46</v>
      </c>
      <c r="V46" s="1">
        <f>COUNTIFS(I2:I373,T46,K2:K373,U46)</f>
        <v>14</v>
      </c>
    </row>
    <row r="47" spans="1:23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High</v>
      </c>
    </row>
    <row r="48" spans="1:23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2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  <c r="T49" s="3" t="s">
        <v>105</v>
      </c>
      <c r="U49" s="1">
        <f>SUMPRODUCT(L2:L373,M2:M373)</f>
        <v>3664518.5400000005</v>
      </c>
      <c r="V49" t="s">
        <v>106</v>
      </c>
    </row>
    <row r="50" spans="1:2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2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  <c r="T51" s="1" t="s">
        <v>46</v>
      </c>
      <c r="U51" s="1" t="s">
        <v>105</v>
      </c>
      <c r="V51" s="1" cm="1">
        <f t="array" ref="V51">SUMPRODUCT(L2:L373,M2:M373,--(K2:K373=T51))</f>
        <v>754015.00999999989</v>
      </c>
      <c r="W51" t="s">
        <v>107</v>
      </c>
    </row>
    <row r="52" spans="1:23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23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23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High</v>
      </c>
    </row>
    <row r="55" spans="1:23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23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23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23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High</v>
      </c>
    </row>
    <row r="59" spans="1:23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High</v>
      </c>
    </row>
    <row r="60" spans="1:23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23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23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23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23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High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 Price","Low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IF(L67&gt;=8,"High",IF(L67&gt;4,"Medium","Low"))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High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High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High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 Price","Low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IF(L131&gt;=8,"High",IF(L131&gt;4,"Medium","Low"))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High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High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High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High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High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High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High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High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High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High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High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High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High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 Price","Low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IF(L195&gt;=8,"High",IF(L195&gt;4,"Medium","Low"))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High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High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High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High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High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High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High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High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 Price","Low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IF(L259&gt;=8,"High",IF(L259&gt;4,"Medium","Low"))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High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High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High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High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High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High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High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High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High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High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 Price","Low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IF(L323&gt;=8,"High",IF(L323&gt;4,"Medium","Low"))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High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High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High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High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High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High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High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mergeCells count="2">
    <mergeCell ref="U7:V7"/>
    <mergeCell ref="V9:W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36D4-6756-4155-9F95-1D3F967F0158}">
  <dimension ref="A1:G8"/>
  <sheetViews>
    <sheetView workbookViewId="0">
      <selection activeCell="E14" sqref="E14"/>
    </sheetView>
  </sheetViews>
  <sheetFormatPr defaultRowHeight="14.4" x14ac:dyDescent="0.3"/>
  <sheetData>
    <row r="1" spans="1:7" x14ac:dyDescent="0.3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</row>
    <row r="2" spans="1:7" x14ac:dyDescent="0.3">
      <c r="A2" s="1" t="s">
        <v>80</v>
      </c>
      <c r="B2" s="1">
        <v>98</v>
      </c>
      <c r="C2" s="1">
        <v>96</v>
      </c>
      <c r="D2" s="1">
        <v>89</v>
      </c>
      <c r="E2" s="1">
        <f>SUM(B2:D2)</f>
        <v>283</v>
      </c>
      <c r="F2" s="5">
        <f>AVERAGE(B2:D2)</f>
        <v>94.333333333333329</v>
      </c>
      <c r="G2" s="1" t="str">
        <f>IF(F2&gt;=90,"A",IF(F2&gt;=70,"B",IF(F2&gt;=50,"C",IF(F2&gt;=40,"Pass","Fail"))))</f>
        <v>A</v>
      </c>
    </row>
    <row r="3" spans="1:7" x14ac:dyDescent="0.3">
      <c r="A3" s="1" t="s">
        <v>81</v>
      </c>
      <c r="B3" s="1">
        <v>87</v>
      </c>
      <c r="C3" s="1">
        <v>89</v>
      </c>
      <c r="D3" s="1">
        <v>45</v>
      </c>
      <c r="E3" s="1">
        <f t="shared" ref="E3:E8" si="0">SUM(B3:D3)</f>
        <v>221</v>
      </c>
      <c r="F3" s="5">
        <f t="shared" ref="F3:F8" si="1">AVERAGE(B3:D3)</f>
        <v>73.666666666666671</v>
      </c>
      <c r="G3" s="1" t="str">
        <f t="shared" ref="G3:G8" si="2">IF(F3&gt;=90,"A",IF(F3&gt;=70,"B",IF(F3&gt;=50,"C",IF(F3&gt;=40,"Pass","Fail"))))</f>
        <v>B</v>
      </c>
    </row>
    <row r="4" spans="1:7" x14ac:dyDescent="0.3">
      <c r="A4" s="1" t="s">
        <v>82</v>
      </c>
      <c r="B4" s="1">
        <v>67</v>
      </c>
      <c r="C4" s="1">
        <v>90</v>
      </c>
      <c r="D4" s="1">
        <v>34</v>
      </c>
      <c r="E4" s="1">
        <f t="shared" si="0"/>
        <v>191</v>
      </c>
      <c r="F4" s="5">
        <f t="shared" si="1"/>
        <v>63.666666666666664</v>
      </c>
      <c r="G4" s="1" t="str">
        <f t="shared" si="2"/>
        <v>C</v>
      </c>
    </row>
    <row r="5" spans="1:7" x14ac:dyDescent="0.3">
      <c r="A5" s="1" t="s">
        <v>83</v>
      </c>
      <c r="B5" s="1">
        <v>47</v>
      </c>
      <c r="C5" s="1">
        <v>77</v>
      </c>
      <c r="D5" s="1">
        <v>50</v>
      </c>
      <c r="E5" s="1">
        <f t="shared" si="0"/>
        <v>174</v>
      </c>
      <c r="F5" s="5">
        <f t="shared" si="1"/>
        <v>58</v>
      </c>
      <c r="G5" s="1" t="str">
        <f t="shared" si="2"/>
        <v>C</v>
      </c>
    </row>
    <row r="6" spans="1:7" x14ac:dyDescent="0.3">
      <c r="A6" s="1" t="s">
        <v>84</v>
      </c>
      <c r="B6" s="1">
        <v>99</v>
      </c>
      <c r="C6" s="1">
        <v>89</v>
      </c>
      <c r="D6" s="1">
        <v>78</v>
      </c>
      <c r="E6" s="1">
        <f t="shared" si="0"/>
        <v>266</v>
      </c>
      <c r="F6" s="5">
        <f t="shared" si="1"/>
        <v>88.666666666666671</v>
      </c>
      <c r="G6" s="1" t="str">
        <f t="shared" si="2"/>
        <v>B</v>
      </c>
    </row>
    <row r="7" spans="1:7" x14ac:dyDescent="0.3">
      <c r="A7" s="1" t="s">
        <v>85</v>
      </c>
      <c r="B7" s="1">
        <v>45</v>
      </c>
      <c r="C7" s="1">
        <v>30</v>
      </c>
      <c r="D7" s="1">
        <v>32</v>
      </c>
      <c r="E7" s="1">
        <f t="shared" si="0"/>
        <v>107</v>
      </c>
      <c r="F7" s="5">
        <f t="shared" si="1"/>
        <v>35.666666666666664</v>
      </c>
      <c r="G7" s="1" t="str">
        <f t="shared" si="2"/>
        <v>Fail</v>
      </c>
    </row>
    <row r="8" spans="1:7" x14ac:dyDescent="0.3">
      <c r="A8" s="1" t="s">
        <v>86</v>
      </c>
      <c r="B8" s="1">
        <v>50</v>
      </c>
      <c r="C8" s="1">
        <v>56</v>
      </c>
      <c r="D8" s="1">
        <v>40</v>
      </c>
      <c r="E8" s="1">
        <f t="shared" si="0"/>
        <v>146</v>
      </c>
      <c r="F8" s="5">
        <f t="shared" si="1"/>
        <v>48.666666666666664</v>
      </c>
      <c r="G8" s="1" t="str">
        <f t="shared" si="2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A833-C45C-4A0B-B2AA-0847CF1F1BDC}">
  <dimension ref="A1:R373"/>
  <sheetViews>
    <sheetView tabSelected="1" workbookViewId="0">
      <selection activeCell="S13" sqref="S13"/>
    </sheetView>
  </sheetViews>
  <sheetFormatPr defaultRowHeight="14.4" x14ac:dyDescent="0.3"/>
  <cols>
    <col min="1" max="1" width="19.21875" customWidth="1"/>
    <col min="2" max="2" width="13.109375" customWidth="1"/>
    <col min="3" max="3" width="10.33203125" customWidth="1"/>
    <col min="4" max="4" width="11.109375" customWidth="1"/>
    <col min="6" max="6" width="10.6640625" customWidth="1"/>
    <col min="7" max="7" width="13.21875" customWidth="1"/>
    <col min="9" max="9" width="17.5546875" customWidth="1"/>
    <col min="10" max="10" width="13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4" t="s">
        <v>71</v>
      </c>
      <c r="R1" s="4" t="s">
        <v>72</v>
      </c>
    </row>
    <row r="2" spans="1:18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 Price","Low Price")</f>
        <v>High Price</v>
      </c>
      <c r="Q2" s="1" t="str" cm="1">
        <f t="array" ref="Q2">_xlfn.IFS(N2&gt;=10,"High",N2&gt;=5,"Medium",N2&lt;5,"Low")</f>
        <v>Low</v>
      </c>
      <c r="R2" s="1" t="str">
        <f>IF(L2&gt;=8,"High",IF(L2&gt;4,"Medium","Low"))</f>
        <v>Medium</v>
      </c>
    </row>
    <row r="3" spans="1:18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 Price","Low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IF(L3&gt;=8,"High",IF(L3&gt;4,"Medium","Low"))</f>
        <v>High</v>
      </c>
    </row>
    <row r="4" spans="1:18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18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18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</row>
    <row r="7" spans="1:18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18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</row>
    <row r="9" spans="1:18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18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18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</row>
    <row r="12" spans="1:18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18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</row>
    <row r="14" spans="1:18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High</v>
      </c>
    </row>
    <row r="15" spans="1:18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High</v>
      </c>
    </row>
    <row r="16" spans="1:18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18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High</v>
      </c>
    </row>
    <row r="18" spans="1:18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18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18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18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18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18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18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18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18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18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18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18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18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18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18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18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18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High</v>
      </c>
    </row>
    <row r="43" spans="1:18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18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18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High</v>
      </c>
    </row>
    <row r="48" spans="1:18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High</v>
      </c>
    </row>
    <row r="55" spans="1:18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High</v>
      </c>
    </row>
    <row r="59" spans="1:18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High</v>
      </c>
    </row>
    <row r="60" spans="1:18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High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 Price","Low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IF(L67&gt;=8,"High",IF(L67&gt;4,"Medium","Low"))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High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High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High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 Price","Low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IF(L131&gt;=8,"High",IF(L131&gt;4,"Medium","Low"))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High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High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High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High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High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High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High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High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High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High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High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High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High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 Price","Low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IF(L195&gt;=8,"High",IF(L195&gt;4,"Medium","Low"))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High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High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High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High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High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High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High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High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 Price","Low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IF(L259&gt;=8,"High",IF(L259&gt;4,"Medium","Low"))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High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High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High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High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High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High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High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High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High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High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 Price","Low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IF(L323&gt;=8,"High",IF(L323&gt;4,"Medium","Low"))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High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High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High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High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High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High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High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conditionalFormatting sqref="C6">
    <cfRule type="expression" dxfId="2" priority="6">
      <formula>#REF!=#REF!</formula>
    </cfRule>
  </conditionalFormatting>
  <conditionalFormatting sqref="E1:E4 C5 E6:E1048576">
    <cfRule type="cellIs" dxfId="1" priority="4" operator="greaterThan">
      <formula>#REF!</formula>
    </cfRule>
  </conditionalFormatting>
  <conditionalFormatting sqref="F1:F1048576">
    <cfRule type="containsText" dxfId="0" priority="1" operator="containsText" text="DELHI">
      <formula>NOT(ISERROR(SEARCH("DELHI",F1)))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Classwork 1</vt:lpstr>
      <vt:lpstr>Classwork 2</vt:lpstr>
      <vt:lpstr>ClassWork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Annwesha Kundu</cp:lastModifiedBy>
  <dcterms:created xsi:type="dcterms:W3CDTF">2025-12-08T11:58:47Z</dcterms:created>
  <dcterms:modified xsi:type="dcterms:W3CDTF">2026-02-25T11:08:32Z</dcterms:modified>
</cp:coreProperties>
</file>